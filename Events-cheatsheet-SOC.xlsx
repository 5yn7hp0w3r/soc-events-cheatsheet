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
    </mc:Choice>
  </mc:AlternateContent>
  <xr:revisionPtr revIDLastSave="0" documentId="8_{06453AFD-2794-4719-86C5-1D7E5BDE0FE1}" xr6:coauthVersionLast="47" xr6:coauthVersionMax="47" xr10:uidLastSave="{00000000-0000-0000-0000-000000000000}"/>
  <bookViews>
    <workbookView xWindow="-120" yWindow="-120" windowWidth="44100" windowHeight="21120" tabRatio="958" xr2:uid="{00000000-000D-0000-FFFF-FFFF00000000}"/>
  </bookViews>
  <sheets>
    <sheet name="Info" sheetId="31" r:id="rId1"/>
    <sheet name="1)Logon" sheetId="16" r:id="rId2"/>
    <sheet name="2)Management" sheetId="21" r:id="rId3"/>
    <sheet name="3)Process&amp;Tasks" sheetId="20" r:id="rId4"/>
    <sheet name="4)Audit-access" sheetId="23" r:id="rId5"/>
    <sheet name="5)Discovery-powershell" sheetId="24" r:id="rId6"/>
    <sheet name="6)System-Network" sheetId="22" r:id="rId7"/>
    <sheet name="7)RDP" sheetId="25" r:id="rId8"/>
    <sheet name="8)Sysmon" sheetId="27" r:id="rId9"/>
    <sheet name="9)Active-Directory" sheetId="35" r:id="rId10"/>
    <sheet name="10)Windows-Defender" sheetId="36" r:id="rId11"/>
    <sheet name="WinEvents_ALL" sheetId="6" r:id="rId12"/>
    <sheet name="Popular events" sheetId="28" r:id="rId13"/>
    <sheet name="Logon types" sheetId="7" r:id="rId14"/>
    <sheet name="Error_4625" sheetId="8" r:id="rId15"/>
    <sheet name="Error_ALL" sheetId="9" r:id="rId16"/>
    <sheet name="Storylines" sheetId="29" r:id="rId17"/>
    <sheet name="Forensics_WIN" sheetId="37" r:id="rId18"/>
    <sheet name="LINUX" sheetId="32" r:id="rId19"/>
    <sheet name="Инструменты защитников" sheetId="34" r:id="rId20"/>
    <sheet name="Инструменты атакующих" sheetId="30" r:id="rId21"/>
    <sheet name="Описание колонок" sheetId="14" r:id="rId22"/>
  </sheets>
  <definedNames>
    <definedName name="_xlnm._FilterDatabase" localSheetId="1" hidden="1">'1)Logon'!$A$1:$A$13</definedName>
    <definedName name="_xlnm._FilterDatabase" localSheetId="2" hidden="1">'2)Management'!$C$1:$C$15</definedName>
    <definedName name="_xlnm._FilterDatabase" localSheetId="3" hidden="1">'3)Process&amp;Tasks'!$C$1:$C$8</definedName>
    <definedName name="_xlnm._FilterDatabase" localSheetId="4" hidden="1">'4)Audit-access'!$C$1:$C$17</definedName>
    <definedName name="_xlnm._FilterDatabase" localSheetId="5" hidden="1">'5)Discovery-powershell'!$C$1:$C$8</definedName>
    <definedName name="_xlnm._FilterDatabase" localSheetId="6" hidden="1">'6)System-Network'!$C$1:$C$9</definedName>
    <definedName name="_xlnm._FilterDatabase" localSheetId="7" hidden="1">'7)RDP'!$C$1:$C$9</definedName>
    <definedName name="_xlnm._FilterDatabase" localSheetId="11" hidden="1">WinEvents_ALL!$C$1:$C$76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8" i="31" l="1"/>
  <c r="C27" i="31"/>
  <c r="C26" i="31"/>
  <c r="C25" i="31"/>
  <c r="C24" i="31"/>
  <c r="C23" i="31"/>
  <c r="C22" i="31"/>
  <c r="C21" i="31"/>
  <c r="C20" i="31"/>
  <c r="C19" i="31"/>
  <c r="C18" i="31"/>
  <c r="C17" i="31"/>
  <c r="C16" i="31"/>
  <c r="C15" i="31"/>
  <c r="C14" i="31"/>
  <c r="C13" i="31"/>
  <c r="C12" i="31"/>
  <c r="C11" i="31"/>
  <c r="C10" i="31"/>
  <c r="C9" i="31"/>
  <c r="C8" i="31"/>
  <c r="J5" i="30"/>
  <c r="J6" i="30"/>
  <c r="J7" i="30"/>
  <c r="J8" i="30"/>
  <c r="J9" i="30"/>
  <c r="J10" i="30"/>
  <c r="J11" i="30"/>
  <c r="J12" i="30"/>
  <c r="J13" i="30"/>
  <c r="J14" i="30"/>
  <c r="J15" i="30"/>
  <c r="J16" i="30"/>
  <c r="J17" i="30"/>
  <c r="J18" i="30"/>
  <c r="J19" i="30"/>
  <c r="J20" i="30"/>
  <c r="J21" i="30"/>
  <c r="J22" i="30"/>
  <c r="J23" i="30"/>
  <c r="J24" i="30"/>
  <c r="J25" i="30"/>
  <c r="J26" i="30"/>
  <c r="J27" i="30"/>
  <c r="J28" i="30"/>
  <c r="J29" i="30"/>
  <c r="J30" i="30"/>
  <c r="J31" i="30"/>
  <c r="J32" i="30"/>
  <c r="J33" i="30"/>
  <c r="J34" i="30"/>
  <c r="J35" i="30"/>
  <c r="J36" i="30"/>
  <c r="J37" i="30"/>
  <c r="J38" i="30"/>
  <c r="J39" i="30"/>
  <c r="J40" i="30"/>
  <c r="J41" i="30"/>
  <c r="J42" i="30"/>
  <c r="J43" i="30"/>
  <c r="J44" i="30"/>
  <c r="J45" i="30"/>
  <c r="J46" i="30"/>
  <c r="J47" i="30"/>
  <c r="J48" i="30"/>
  <c r="J49" i="30"/>
  <c r="J50" i="30"/>
  <c r="J51" i="30"/>
  <c r="J52" i="30"/>
  <c r="J53" i="30"/>
  <c r="J54" i="30"/>
  <c r="J55" i="30"/>
  <c r="J56" i="30"/>
  <c r="J57" i="30"/>
  <c r="J58" i="30"/>
  <c r="J59" i="30"/>
  <c r="J60" i="30"/>
  <c r="J61" i="30"/>
  <c r="I20" i="29"/>
  <c r="I19" i="29"/>
  <c r="I18" i="29"/>
  <c r="I17" i="29"/>
  <c r="I16" i="29"/>
  <c r="I15" i="29"/>
  <c r="I14" i="29"/>
  <c r="I13" i="29"/>
  <c r="I12" i="29"/>
  <c r="I11" i="29"/>
  <c r="I10" i="29"/>
  <c r="I9" i="29"/>
  <c r="I8" i="29"/>
  <c r="I7" i="29"/>
  <c r="I6"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E9" authorId="0" shapeId="0" xr:uid="{31B2B3A4-CB6F-42FA-A9CB-E8412AF9E9F1}">
      <text>
        <r>
          <rPr>
            <b/>
            <sz val="11"/>
            <color indexed="81"/>
            <rFont val="Tahoma"/>
            <family val="2"/>
            <charset val="204"/>
          </rPr>
          <t>admin:</t>
        </r>
        <r>
          <rPr>
            <sz val="11"/>
            <color indexed="81"/>
            <rFont val="Tahoma"/>
            <family val="2"/>
            <charset val="204"/>
          </rPr>
          <t xml:space="preserve">
Переоценено (baseline): доступ к сетевому ресурсу — очень частое легитимное событие (файловые шары, GPO, печать). Высокая ценность только при доступе к чувствительным шарам или при lateral movement.</t>
        </r>
      </text>
    </comment>
    <comment ref="E14" authorId="0" shapeId="0" xr:uid="{9DB7F305-0CF4-4DB8-97CC-F053A425194D}">
      <text>
        <r>
          <rPr>
            <b/>
            <sz val="11"/>
            <color indexed="81"/>
            <rFont val="Tahoma"/>
            <family val="2"/>
            <charset val="204"/>
          </rPr>
          <t>admin:</t>
        </r>
        <r>
          <rPr>
            <sz val="11"/>
            <color indexed="81"/>
            <rFont val="Tahoma"/>
            <family val="2"/>
            <charset val="204"/>
          </rPr>
          <t xml:space="preserve">
Переоценено (baseline): создание УЗ — важное admin-событие, но не «всё горит». "Критическую" резервируем за компрометацией/anti-forensics. Высокая адекватна.</t>
        </r>
      </text>
    </comment>
    <comment ref="E18" authorId="0" shapeId="0" xr:uid="{D86B9D6B-7691-4E18-825F-C2766E517E3B}">
      <text>
        <r>
          <rPr>
            <b/>
            <sz val="11"/>
            <color indexed="81"/>
            <rFont val="Tahoma"/>
            <family val="2"/>
            <charset val="204"/>
          </rPr>
          <t>admin:</t>
        </r>
        <r>
          <rPr>
            <sz val="11"/>
            <color indexed="81"/>
            <rFont val="Tahoma"/>
            <family val="2"/>
            <charset val="204"/>
          </rPr>
          <t xml:space="preserve">
Переоценено (baseline): 4103 (pipeline execution) шумнее, чем 4104 (script block). Базово Средняя; повышать при обфускации/подозрительных командлетах.</t>
        </r>
      </text>
    </comment>
    <comment ref="E23" authorId="0" shapeId="0" xr:uid="{7EBA9C82-1EA9-4B41-99FF-1DB2D40B4EEB}">
      <text>
        <r>
          <rPr>
            <b/>
            <sz val="11"/>
            <color indexed="81"/>
            <rFont val="Tahoma"/>
            <family val="2"/>
            <charset val="204"/>
          </rPr>
          <t>admin:</t>
        </r>
        <r>
          <rPr>
            <sz val="11"/>
            <color indexed="81"/>
            <rFont val="Tahoma"/>
            <family val="2"/>
            <charset val="204"/>
          </rPr>
          <t xml:space="preserve">
Переоценено (baseline): удаление УЗ — значимое admin-событие (возможное сокрытие следов), но не уровня очистки журналов. Категория Высокая точнее.</t>
        </r>
      </text>
    </comment>
    <comment ref="E24" authorId="0" shapeId="0" xr:uid="{519F9E81-6839-4831-8D46-AA127A88CEA4}">
      <text>
        <r>
          <rPr>
            <b/>
            <sz val="11"/>
            <color indexed="81"/>
            <rFont val="Tahoma"/>
            <family val="2"/>
            <charset val="204"/>
          </rPr>
          <t>admin:</t>
        </r>
        <r>
          <rPr>
            <sz val="11"/>
            <color indexed="81"/>
            <rFont val="Tahoma"/>
            <family val="2"/>
            <charset val="204"/>
          </rPr>
          <t xml:space="preserve">
Переоценено (baseline): Kerberos TGT (4768) — высокочастотное событие при каждом входе в домен. Базово Низкая; интересно только при аномалиях (шифр 0x17, AS-REP roasting).</t>
        </r>
      </text>
    </comment>
    <comment ref="E26" authorId="0" shapeId="0" xr:uid="{43752F42-1A81-4B6D-8F98-7C02F27E3C57}">
      <text>
        <r>
          <rPr>
            <b/>
            <sz val="11"/>
            <color indexed="81"/>
            <rFont val="Tahoma"/>
            <family val="2"/>
            <charset val="204"/>
          </rPr>
          <t>admin:</t>
        </r>
        <r>
          <rPr>
            <sz val="11"/>
            <color indexed="81"/>
            <rFont val="Tahoma"/>
            <family val="2"/>
            <charset val="204"/>
          </rPr>
          <t xml:space="preserve">
Переоценено (baseline): Kerberos TGS — очень частое событие при любом доступе к службам. Высокой становится при признаках Kerberoasting (RC4/0x17, множество TGS от одной УЗ).</t>
        </r>
      </text>
    </comment>
    <comment ref="E37" authorId="0" shapeId="0" xr:uid="{73AC1F02-E97C-4600-92CD-0F64C7F50E2C}">
      <text>
        <r>
          <rPr>
            <b/>
            <sz val="11"/>
            <color indexed="81"/>
            <rFont val="Tahoma"/>
            <family val="2"/>
            <charset val="204"/>
          </rPr>
          <t>admin:</t>
        </r>
        <r>
          <rPr>
            <sz val="11"/>
            <color indexed="81"/>
            <rFont val="Tahoma"/>
            <family val="2"/>
            <charset val="204"/>
          </rPr>
          <t xml:space="preserve">
Переоценено (baseline): 4662 важен для детекта DCSync (права DS-Replication), но сам по себе очень шумный и частый. Критическим становится только при конкретных GUID репликации. Базово Высокая.</t>
        </r>
      </text>
    </comment>
    <comment ref="E38" authorId="0" shapeId="0" xr:uid="{8B18499C-0F4B-44FB-9B06-A242F36BFCD2}">
      <text>
        <r>
          <rPr>
            <b/>
            <sz val="11"/>
            <color indexed="81"/>
            <rFont val="Tahoma"/>
            <family val="2"/>
            <charset val="204"/>
          </rPr>
          <t>admin:</t>
        </r>
        <r>
          <rPr>
            <sz val="11"/>
            <color indexed="81"/>
            <rFont val="Tahoma"/>
            <family val="2"/>
            <charset val="204"/>
          </rPr>
          <t xml:space="preserve">
Переоценено (baseline): вызов привилегированной службы — регулярное событие в норме. Базово Средняя; важно в контексте конкретных привилегий (SeDebug/SeBackup).</t>
        </r>
      </text>
    </comment>
    <comment ref="E49" authorId="0" shapeId="0" xr:uid="{8C20E505-B6D5-45A3-9ACB-17212ADC776E}">
      <text>
        <r>
          <rPr>
            <b/>
            <sz val="11"/>
            <color indexed="81"/>
            <rFont val="Tahoma"/>
            <family val="2"/>
            <charset val="204"/>
          </rPr>
          <t>admin:</t>
        </r>
        <r>
          <rPr>
            <sz val="11"/>
            <color indexed="81"/>
            <rFont val="Tahoma"/>
            <family val="2"/>
            <charset val="204"/>
          </rPr>
          <t xml:space="preserve">
Переоценено (baseline): изменение объекта пользователя — важно, но регулярно в admin-работе. Категорию Критическая резервируем за компрометацией. Высокая точнее.</t>
        </r>
      </text>
    </comment>
    <comment ref="E108" authorId="0" shapeId="0" xr:uid="{2C96550E-2298-4046-9968-F5655F87489C}">
      <text>
        <r>
          <rPr>
            <b/>
            <sz val="11"/>
            <color indexed="81"/>
            <rFont val="Tahoma"/>
            <family val="2"/>
            <charset val="204"/>
          </rPr>
          <t>admin:</t>
        </r>
        <r>
          <rPr>
            <sz val="11"/>
            <color indexed="81"/>
            <rFont val="Tahoma"/>
            <family val="2"/>
            <charset val="204"/>
          </rPr>
          <t xml:space="preserve">
Переоценено (baseline): 1117 = Defender УСПЕШНО принял меры против угрозы — сообщение об успешной защите. Детекционно важнее 1116 (обнаружение). Повышать при повторных срабатываниях.</t>
        </r>
      </text>
    </comment>
    <comment ref="E114" authorId="0" shapeId="0" xr:uid="{5B68F37C-CE5F-4954-A386-2E8EC1806CE8}">
      <text>
        <r>
          <rPr>
            <b/>
            <sz val="11"/>
            <color indexed="81"/>
            <rFont val="Tahoma"/>
            <family val="2"/>
            <charset val="204"/>
          </rPr>
          <t>admin:</t>
        </r>
        <r>
          <rPr>
            <sz val="11"/>
            <color indexed="81"/>
            <rFont val="Tahoma"/>
            <family val="2"/>
            <charset val="204"/>
          </rPr>
          <t xml:space="preserve">
Переоценено (baseline): остановка службы журналирования — anti-forensics того же класса, что очистка журнала (1102). Повышено до Критической: почти всегда признак сокрытия активности.</t>
        </r>
      </text>
    </comment>
  </commentList>
</comments>
</file>

<file path=xl/sharedStrings.xml><?xml version="1.0" encoding="utf-8"?>
<sst xmlns="http://schemas.openxmlformats.org/spreadsheetml/2006/main" count="8161" uniqueCount="4827">
  <si>
    <t>Категория</t>
  </si>
  <si>
    <t>Event ID</t>
  </si>
  <si>
    <t>Название события</t>
  </si>
  <si>
    <t>Лог</t>
  </si>
  <si>
    <t>Важность</t>
  </si>
  <si>
    <t>Частота</t>
  </si>
  <si>
    <t>Описание</t>
  </si>
  <si>
    <t>Подробности</t>
  </si>
  <si>
    <t>Индикаторы атаки</t>
  </si>
  <si>
    <t>MITRE TTP</t>
  </si>
  <si>
    <t>Причины отказа</t>
  </si>
  <si>
    <t>Типичные сценарии</t>
  </si>
  <si>
    <t>Ключевые поля</t>
  </si>
  <si>
    <t>Причины блокировки</t>
  </si>
  <si>
    <t>Ключевые привилегии</t>
  </si>
  <si>
    <t>Документация для данного EventCode</t>
  </si>
  <si>
    <t>Аутентификация</t>
  </si>
  <si>
    <t>Запрос билета Kerberos (TGT)</t>
  </si>
  <si>
    <t>Security</t>
  </si>
  <si>
    <t>Средняя</t>
  </si>
  <si>
    <t>Высокая</t>
  </si>
  <si>
    <t>Запрос Ticket-Granting Ticket (TGT) от контроллера домена</t>
  </si>
  <si>
    <t>Содержит информацию о запрашивающем пользователе, службе, шифровании, IP адресе</t>
  </si>
  <si>
    <t>['Account Name - запрашивающий пользователь', 'Service Name - krbtgt/domain', 'Ticket Encryption Type - тип шифрования (AES, RC4)', 'Client Address - IP клиента', 'Pre-Authentication Type - тип предаутентификации']</t>
  </si>
  <si>
    <t>Успешный вход в систему</t>
  </si>
  <si>
    <t>Успешное завершение процесса аутентификации пользователя или службы</t>
  </si>
  <si>
    <t>Содержит информацию об учетной записи, типе входа (Logon Type), рабочей станции, процессе аутентификации</t>
  </si>
  <si>
    <t>Неудачная попытка входа</t>
  </si>
  <si>
    <t>Попытка входа в систему с неверными учетными данными</t>
  </si>
  <si>
    <t>Содержит информацию об атакуемой учетной записи, причине отказа, исходной рабочей станции</t>
  </si>
  <si>
    <t>Вход с использованием явных учетных данных</t>
  </si>
  <si>
    <t>Низкая</t>
  </si>
  <si>
    <t>['Запуск приложения от имени другого пользователя', 'Использование PowerShell с -Credential', 'Имперсонация в приложениях', 'Lateral movement атаки']</t>
  </si>
  <si>
    <t>Запрос билета службы Kerberos (TGS)</t>
  </si>
  <si>
    <t>Запрос Ticket-Granting Service (TGS) для доступа к конкретной службе</t>
  </si>
  <si>
    <t>Содержит информацию о пользователе, целевой службе, шифровании, результатах</t>
  </si>
  <si>
    <t>['Account Name - пользователь', 'Service Name - целевая служба', 'Ticket Encryption Type - тип шифрования', 'Ticket Options - опции билета', 'Result Code - результат запроса']</t>
  </si>
  <si>
    <t>Попытка аутентификации NTLM</t>
  </si>
  <si>
    <t>Контроллер домена пытался проверить учетные данные учетной записи</t>
  </si>
  <si>
    <t>Содержит информацию об учетной записи, рабочей станции, службе аутентификации</t>
  </si>
  <si>
    <t>['Account Name - аутентифицируемая учетная запись', 'Workstation Name - рабочая станция', 'Service Name - служба, запросившая аутентификацию', 'Status - результат аутентификации']</t>
  </si>
  <si>
    <t>Сессия была переподключена к Window Station</t>
  </si>
  <si>
    <t>Сессия переподключена (например, через RDP reconnect)</t>
  </si>
  <si>
    <t>Содержит информацию об учетной записи, сессии, клиентском IP и типе входа</t>
  </si>
  <si>
    <t>['RDP сессия переподключена после обрыва', 'Переключение между сессиями', 'Пользователь переподключается к существующей сессии']</t>
  </si>
  <si>
    <t>['Account Name - имя учетной записи', 'Session Name - имя сессии', 'Client Address - IP адрес клиента', 'Logon Type - тип входа']</t>
  </si>
  <si>
    <t>Сессия была отключена от Window Station</t>
  </si>
  <si>
    <t>Сессия отключена от рабочей станции</t>
  </si>
  <si>
    <t>Содержит информацию об учетной записи, сессии и клиентском IP</t>
  </si>
  <si>
    <t>['Пользователь выходит из системы', 'RDP сессия закрыта', 'Сессия завершена по таймауту', 'Принудительное отключение администратором']</t>
  </si>
  <si>
    <t>['Account Name - имя учетной записи', 'Session Name - имя сессии', 'Client Address - IP адрес клиента']</t>
  </si>
  <si>
    <t>Рабочая станция была заблокирована</t>
  </si>
  <si>
    <t>Экран блокировки Windows активирован</t>
  </si>
  <si>
    <t>Содержит информацию об учетной записи и идентификаторе сессии</t>
  </si>
  <si>
    <t>['Пользователь блокирует рабочую станцию (Win+L)', 'Автоматическая блокировка по таймауту', 'Блокировка при выходе из спящего режима']</t>
  </si>
  <si>
    <t>['Account Name - имя учетной записи', 'Session ID - идентификатор сессии']</t>
  </si>
  <si>
    <t>Рабочая станция была разблокирована</t>
  </si>
  <si>
    <t>Экран блокировки Windows деактивирован</t>
  </si>
  <si>
    <t>['Пользователь разблокирует рабочую станцию', 'Разблокировка после ввода пароля', 'Автоматическая разблокировка']</t>
  </si>
  <si>
    <t>Неудачная попытка аутентификации Kerberos</t>
  </si>
  <si>
    <t>Содержит информацию о службе, клиентском IP, статусе ошибки и типе шифрования</t>
  </si>
  <si>
    <t>['AS-REP Roasting атака', 'Brute-force Kerberos паролей', 'Попытки использовать слабое шифрование', 'Атаки на сервисные аккаунты']</t>
  </si>
  <si>
    <t>['Service Name - имя службы', 'Client Address - IP адрес клиента', 'Status - код статуса ошибки', 'Ticket Encryption Type - тип шифрования билета']</t>
  </si>
  <si>
    <t>Устаревшие аутентификации</t>
  </si>
  <si>
    <t>Вход с использованием явных учетных данных (альтернативный)</t>
  </si>
  <si>
    <t>Аналог 4648 в старых системах Windows</t>
  </si>
  <si>
    <t>Содержит информацию о типе входа, учетной записи и целевой учетной записи</t>
  </si>
  <si>
    <t>['Logon Type - тип входа', 'Account Name - имя учетной записи', 'Target Account - целевая учетная запись']</t>
  </si>
  <si>
    <t>SeImpersonatePrivilege, SeAssignPrimaryTokenPrivilege</t>
  </si>
  <si>
    <t>Управление учетными записями</t>
  </si>
  <si>
    <t>Блокировка учетной записи пользователя</t>
  </si>
  <si>
    <t>Учетная запись пользователя была заблокирована</t>
  </si>
  <si>
    <t>Содержит информацию о заблокированной учетной записи и причине блокировки</t>
  </si>
  <si>
    <t>['Слишком много неудачных попыток входа', 'Административная блокировка', 'Истек срок действия учетной записи', 'Политика блокировки учетной записи']</t>
  </si>
  <si>
    <t>Отключение учетной записи пользователя</t>
  </si>
  <si>
    <t>Учетная запись пользователя была отключена</t>
  </si>
  <si>
    <t>Содержит информацию о том, кто отключил учетную запись и какую</t>
  </si>
  <si>
    <t>Попытка сброса пароля учетной записи</t>
  </si>
  <si>
    <t>Была предпринята попытка сбросить пароль учетной записи</t>
  </si>
  <si>
    <t>Содержит информацию о том, кто пытался сбросить пароль и для какой учетной записи</t>
  </si>
  <si>
    <t>Включение учетной записи пользователя</t>
  </si>
  <si>
    <t>Учетная запись пользователя была включена (активирована)</t>
  </si>
  <si>
    <t>Содержит информацию о том, кто включил учетную запись и какую учетную запись</t>
  </si>
  <si>
    <t>Создание учетной записи пользователя</t>
  </si>
  <si>
    <t>Критическая</t>
  </si>
  <si>
    <t>Учетная запись пользователя была создана</t>
  </si>
  <si>
    <t>Содержит информацию о создателе, новой учетной записи, SID, групповом членстве</t>
  </si>
  <si>
    <t>['Subject - кто создал учетную запись', 'New Account - имя новой учетной записи', 'Account Domain - домен учетной записи', 'SID - Security Identifier', 'Group Membership - первоначальные группы']</t>
  </si>
  <si>
    <t>Удаление учетной записи пользователя</t>
  </si>
  <si>
    <t>Очень низкая</t>
  </si>
  <si>
    <t>Учетная запись пользователя была удалена</t>
  </si>
  <si>
    <t>Содержит информацию об удаленной учетной записи и том, кто удалил</t>
  </si>
  <si>
    <t>Управление группами</t>
  </si>
  <si>
    <t>Добавление пользователя в глобальную группу безопасности</t>
  </si>
  <si>
    <t>Член был добавлен в глобальную группу безопасности</t>
  </si>
  <si>
    <t>Содержит информацию о том, кто добавил, какого пользователя и в какую группу</t>
  </si>
  <si>
    <t>['Subject - кто выполнил добавление', 'Member - добавленный пользователь', 'Group - целевая группа', 'Group Domain - домен группы']</t>
  </si>
  <si>
    <t>Удаление пользователя из глобальной группы безопасности</t>
  </si>
  <si>
    <t>Член был удален из глобальной группы безопасности</t>
  </si>
  <si>
    <t>Содержит информацию о том, кто удалил, какого пользователя и из какой группы</t>
  </si>
  <si>
    <t>Добавление пользователя в локальную группу безопасности</t>
  </si>
  <si>
    <t>Член был добавлен в локальную группу безопасности</t>
  </si>
  <si>
    <t>Содержит информацию о том, кто добавил, какого пользователя и в какую локальную группу</t>
  </si>
  <si>
    <t>Привилегии</t>
  </si>
  <si>
    <t>Назначение специальных привилегий новому входу</t>
  </si>
  <si>
    <t>Специальные привилегии были назначены новому входу в систему</t>
  </si>
  <si>
    <t>Содержит информацию о пользователе, которому назначены привилегии, и какие привилегии</t>
  </si>
  <si>
    <t>['SeDebugPrivilege - отладка процессов', 'SeTcbPrivilege - часть TCB (Trusted Computing Base)', 'SeBackupPrivilege - право на резервное копирование', 'SeRestorePrivilege - право на восстановление', 'SeTakeOwnershipPrivilege - право на взятие владения', 'SeImpersonatePrivilege - право на имперсонацию']</t>
  </si>
  <si>
    <t>Вызов привилегированной службы</t>
  </si>
  <si>
    <t>Была вызвана привилегированная служба</t>
  </si>
  <si>
    <t>Содержит информацию о вызванной службе, процессе, пользователе</t>
  </si>
  <si>
    <t>Разблокировка учетной записи пользователя</t>
  </si>
  <si>
    <t>Администратор разблокировал учетную запись пользователя</t>
  </si>
  <si>
    <t>Содержит информацию о целевой учетной записи и субъекте, выполнившем разблокировку</t>
  </si>
  <si>
    <t>['Администратор разблокирует учетную запись после блокировки', 'Разблокировка по запросу пользователя', 'Автоматическая разблокировка по политике']</t>
  </si>
  <si>
    <t>['Target Account - целевая учетная запись', 'Subject User - пользователь, выполнивший разблокировку', 'Subject Domain - домен субъекта']</t>
  </si>
  <si>
    <t>SeEnableDelegationPrivilege, SeSecurityPrivilege</t>
  </si>
  <si>
    <t>Изменение пользовательского объекта</t>
  </si>
  <si>
    <t>Содержит информацию о целевой учетной записи, измененном атрибуте, старом и новом значениях</t>
  </si>
  <si>
    <t>['Изменение настроек учетной записи администратором', 'Добавление SPN для службы', 'Изменение политик паролей', 'Настройка делегирования']</t>
  </si>
  <si>
    <t>['Target Account - целевая учетная запись', 'Attribute LDAP Name - имя изменяемого атрибута', 'Old Value - старое значение', 'New Value - новое значение', 'Subject User - пользователь, выполнивший изменение']</t>
  </si>
  <si>
    <t>Содержит информацию о группе, добавленном/удаленном члене и субъекте изменения</t>
  </si>
  <si>
    <t>['Администратор добавляет пользователя в группу', 'Изменение членства в группах рассылки', 'Настройка прав доступа через группы']</t>
  </si>
  <si>
    <t>['Group Name - имя группы', 'Member - добавленный/удаленный член', 'Subject User - пользователь, выполнивший изменение']</t>
  </si>
  <si>
    <t>SeEnableDelegationPrivilege</t>
  </si>
  <si>
    <t>['Настройка прав доступа к общим папкам', 'Изменение членства в группах приложений', 'Администрирование прав доступа']</t>
  </si>
  <si>
    <t>Процессы</t>
  </si>
  <si>
    <t>Завершение процесса</t>
  </si>
  <si>
    <t>Процесс был завершен</t>
  </si>
  <si>
    <t>Содержит информацию о завершенном процессе, статусе завершения</t>
  </si>
  <si>
    <t>Создание нового процесса</t>
  </si>
  <si>
    <t>Очень высокая</t>
  </si>
  <si>
    <t>Был создан новый процесс</t>
  </si>
  <si>
    <t>Содержит информацию о родительском процессе, новом процессе, командной строке, токене</t>
  </si>
  <si>
    <t>['Subject - кто создал процесс (родитель)', 'New Process Name - имя нового процесса', 'Process ID - PID нового процесса', 'Parent Process Name - имя родительского процесса', 'Command Line - командная строка процесса', 'Token Elevation Type - тип повышения привилегий']</t>
  </si>
  <si>
    <t>Установка службы</t>
  </si>
  <si>
    <t>Служба была установлена в системе</t>
  </si>
  <si>
    <t>Содержит информацию об установленной службе, пути к исполняемому файлу, типе запуска</t>
  </si>
  <si>
    <t>['Service Name - имя службы', 'Service File Name - путь к исполняемому файлу', 'Service Type - тип службы', 'Start Type - тип запуска (авто, ручной)', 'Account - учетная запись службы']</t>
  </si>
  <si>
    <t>Планировщик заданий</t>
  </si>
  <si>
    <t>Создание запланированной задачи</t>
  </si>
  <si>
    <t>Была создана запланированная задача</t>
  </si>
  <si>
    <t>Содержит информацию о созданной задаче, триггерах, действиях, создателе</t>
  </si>
  <si>
    <t>['Task Name - имя задачи', 'Task Content - содержимое задачи (XML)', 'Subject - кто создал задачу', 'Triggers - триггеры выполнения', 'Actions - действия задачи']</t>
  </si>
  <si>
    <t>Изменение запланированной задачи</t>
  </si>
  <si>
    <t>Была изменена запланированная задача</t>
  </si>
  <si>
    <t>Содержит информацию об измененной задаче и внесенных изменениях</t>
  </si>
  <si>
    <t>Включение или выключение токена</t>
  </si>
  <si>
    <t>Манипуляции с токеном безопасности</t>
  </si>
  <si>
    <t>Содержит информацию о процессе, типе токена и субъекте</t>
  </si>
  <si>
    <t>['Приложение использует привилегии', 'Системный процесс манипулирует токенами', 'Административные операции с токенами']</t>
  </si>
  <si>
    <t>['Process Name - имя процесса', 'Token Type - тип токена', 'Subject User - субъект операции']</t>
  </si>
  <si>
    <t>SeDebugPrivilege, SeTcbPrivilege</t>
  </si>
  <si>
    <t>Доступ к объектам</t>
  </si>
  <si>
    <t>Запрос дескриптора объекта</t>
  </si>
  <si>
    <t>Был запрошен дескриптор объекта (файла, ключа реестра, процесса)</t>
  </si>
  <si>
    <t>Содержит информацию об объекте, запрашиваемых правах, процессе</t>
  </si>
  <si>
    <t>['Object Name - имя объекта', 'Object Type - тип объекта (File, Key, Process)', 'Access Mask - запрашиваемые права', 'Process Name - процесс, запросивший доступ', 'Accesses - текстовое описание прав']</t>
  </si>
  <si>
    <t>Изменение значения реестра</t>
  </si>
  <si>
    <t>Было изменено значение в реестре</t>
  </si>
  <si>
    <t>Содержит информацию об измененном ключе реестра, старом и новом значениях, процессе</t>
  </si>
  <si>
    <t>Попытка доступа к объекту</t>
  </si>
  <si>
    <t>Была предпринята попытка доступа к объекту (файлу, ключу реестра)</t>
  </si>
  <si>
    <t>Содержит информацию об объекте, запрошенных правах доступа, результате</t>
  </si>
  <si>
    <t>Операция над объектом Active Directory</t>
  </si>
  <si>
    <t>Была выполнена операция над объектом Active Directory</t>
  </si>
  <si>
    <t>Содержит информацию об объекте AD, операции, атрибутах, инициаторе</t>
  </si>
  <si>
    <t>['Object DN - Distinguished Name объекта', 'Operation Type - тип операции (Value Added, Value Deleted)', 'Attribute LDAP Display Name - атрибут AD', 'Subject - кто выполнил операцию']</t>
  </si>
  <si>
    <t>Аудит и политики</t>
  </si>
  <si>
    <t>['Настройка аудита доступа к файлам', 'Изменение политик мониторинга', 'Конфигурация аудита реестра']</t>
  </si>
  <si>
    <t>['Object Name - имя объекта', 'Object Type - тип объекта', 'Old SACL - старые настройки аудита', 'New SACL - новые настройки аудита']</t>
  </si>
  <si>
    <t>SeSecurityPrivilege</t>
  </si>
  <si>
    <t>Назначение прав пользователя</t>
  </si>
  <si>
    <t>Назначение привилегий пользователям (User Rights Assignment)</t>
  </si>
  <si>
    <t>['Настройка прав пользователей через GPO', 'Назначение привилегий для приложений', 'Конфигурация сервисных аккаунтов']</t>
  </si>
  <si>
    <t>['Privilege List - список привилегий', 'Subject User - пользователь, выполнивший назначение', 'Target User - целевой пользователь']</t>
  </si>
  <si>
    <t>Изменение политики аудита системы</t>
  </si>
  <si>
    <t>Глобальное изменение политик аудита системы</t>
  </si>
  <si>
    <t>['Изменение групповых политик аудита', 'Настройка централизованного аудита', 'Конфигурация мониторинга безопасности']</t>
  </si>
  <si>
    <t>['Policy Changes - измененные политики', 'Subject User - пользователь, выполнивший изменение']</t>
  </si>
  <si>
    <t>Доступ к ресурсам</t>
  </si>
  <si>
    <t>Добавление сетевого ресурса</t>
  </si>
  <si>
    <t>Добавление общей папки</t>
  </si>
  <si>
    <t>Содержит информацию об имени общей папки, пути и субъекте</t>
  </si>
  <si>
    <t>['Администратор создает общую папку', 'Настройка доступа к ресурсам', 'Создание временного share']</t>
  </si>
  <si>
    <t>['Share Name - имя общей папки', 'Share Path - путь к папке', 'Subject User - пользователь, создавший share']</t>
  </si>
  <si>
    <t>SeCreateGlobalPrivilege</t>
  </si>
  <si>
    <t>Проверка сетевого ресурса</t>
  </si>
  <si>
    <t>Проверка существования сетевого ресурса</t>
  </si>
  <si>
    <t>['Пользователь проверяет доступные share', 'Скрипт перечисляет сетевые ресурсы', 'Приложение ищет общие папки']</t>
  </si>
  <si>
    <t>['Share Name - имя общей папки', 'Source Address - исходный IP адрес']</t>
  </si>
  <si>
    <t>Доступ к сетевому ресурсу</t>
  </si>
  <si>
    <t>Доступ к файлу в сетевой папке</t>
  </si>
  <si>
    <t>Содержит информацию об общей папке, исходном адресе, объекте и правах доступа</t>
  </si>
  <si>
    <t>['Доступ пользователя к общей папке', 'Копирование файлов по сети', 'Выполнение приложений из сетевых ресурсов']</t>
  </si>
  <si>
    <t>['Share Name - имя общей папки', 'Source Address - исходный IP адрес', 'Object Name - имя объекта (файла)', 'Accesses - права доступа']</t>
  </si>
  <si>
    <t>PowerShell</t>
  </si>
  <si>
    <t>Microsoft-Windows-PowerShell/Operational</t>
  </si>
  <si>
    <t>Выполнение скрипта PowerShell</t>
  </si>
  <si>
    <t>Был выполнен скрипт PowerShell</t>
  </si>
  <si>
    <t>Разведка (Discovery)</t>
  </si>
  <si>
    <t>Перечисление пользователей в группе</t>
  </si>
  <si>
    <t>Запрос состава группы (net group, Get-ADGroupMember)</t>
  </si>
  <si>
    <t>Содержит информацию о группе, субъекте запроса и клиентском IP</t>
  </si>
  <si>
    <t>['Администратор проверяет состав группы', 'Скрипт аудита перечисляет членство', 'Приложение запрашивает информацию о группе']</t>
  </si>
  <si>
    <t>['Group Name - имя группы', 'Subject User - пользователь, выполнивший запрос', 'Client Address - IP адрес клиента']</t>
  </si>
  <si>
    <t>Перечисление групп в AD</t>
  </si>
  <si>
    <t>Запрос групп в домене (net localgroup, Get-ADGroup)</t>
  </si>
  <si>
    <t>['Администратор перечисляет группы', 'Скрипт аудита собирает информацию о группах', 'Приложение запрашивает список групп']</t>
  </si>
  <si>
    <t>['Subject User - пользователь, выполнивший запрос', 'Client Address - IP адрес клиента']</t>
  </si>
  <si>
    <t>Изменение объекта каталога</t>
  </si>
  <si>
    <t>Изменение любого объекта в Active Directory</t>
  </si>
  <si>
    <t>['Изменение объектов AD администратором', 'Синхронизация между DC', 'Модификация атрибутов объектов']</t>
  </si>
  <si>
    <t>Создание объекта каталога</t>
  </si>
  <si>
    <t>Создание объекта в Active Directory</t>
  </si>
  <si>
    <t>Содержит информацию об объекте, его DN и субъекте создания</t>
  </si>
  <si>
    <t>['Создание пользователя администратором', 'Добавление новой группы', 'Создание объекта службы']</t>
  </si>
  <si>
    <t>['DS Name - имя каталога', 'Object DN - Distinguished Name объекта', 'Subject - субъект создания']</t>
  </si>
  <si>
    <t>Системные события</t>
  </si>
  <si>
    <t>Запуск Windows</t>
  </si>
  <si>
    <t>Windows запускается</t>
  </si>
  <si>
    <t>Содержит информацию о времени запуска, версии ОС, причинах запуска</t>
  </si>
  <si>
    <t>Изменение системного времени</t>
  </si>
  <si>
    <t>Системное время было изменено</t>
  </si>
  <si>
    <t>Содержит информацию о старом и новом времени, процессе, который изменил время</t>
  </si>
  <si>
    <t>Очистка журнала аудита</t>
  </si>
  <si>
    <t>Журнал аудита был очищен</t>
  </si>
  <si>
    <t>Содержит информацию о том, кто очистил журнал</t>
  </si>
  <si>
    <t>Брандмауэр</t>
  </si>
  <si>
    <t>Добавление правила брандмауэра</t>
  </si>
  <si>
    <t>Правило было добавлено в исключения брандмауэра Windows</t>
  </si>
  <si>
    <t>Содержит информацию о добавленном правиле, профиле, действии</t>
  </si>
  <si>
    <t>Изменение правила брандмауэра</t>
  </si>
  <si>
    <t>Правило в исключениях брандмауэра Windows было изменено</t>
  </si>
  <si>
    <t>Содержит информацию об измененном правиле и внесенных изменениях</t>
  </si>
  <si>
    <t>Сеть</t>
  </si>
  <si>
    <t>Windows Filtering Platform разрешил подключение</t>
  </si>
  <si>
    <t>Windows Filtering Platform разрешил сетевое подключение</t>
  </si>
  <si>
    <t>['Application - приложение', 'Direction - направление (Inbound/Outbound)', 'Source Address - исходный IP', 'Source Port - исходный порт', 'Destination Address - целевой IP', 'Destination Port - целевой порт', 'Protocol - протокол']</t>
  </si>
  <si>
    <t>Windows Filtering Platform заблокировал подключение</t>
  </si>
  <si>
    <t>Windows Filtering Platform заблокировал сетевое подключение</t>
  </si>
  <si>
    <t>Содержит информацию о заблокированном подключении, причине блокировки</t>
  </si>
  <si>
    <t>Разрешения объектов</t>
  </si>
  <si>
    <t>Изменение разрешений объекта</t>
  </si>
  <si>
    <t>Содержит информацию об объекте, старых и новых разрешениях, процессе изменения</t>
  </si>
  <si>
    <t>['Администратор изменяет права доступа к файлу', 'Настройка разрешений на общие папки', 'Изменение прав на ключи реестра', 'Настройка аудита доступа']</t>
  </si>
  <si>
    <t>['Object Name - имя объекта', 'Object Type - тип объекта (File, Key, Directory)', 'Old DACL - старые разрешения', 'New DACL - новые разрешения', 'Process Name - процесс, изменивший разрешения']</t>
  </si>
  <si>
    <t>SeTakeOwnershipPrivilege, SeSecurityPrivilege, SeBackupPrivilege</t>
  </si>
  <si>
    <t>Содержит информацию об атрибуте ресурса, старом и новом значениях, субъекте изменения</t>
  </si>
  <si>
    <t>['Настройка политик аудита доступа', 'Изменение параметров аудита файловой системы', 'Конфигурация мониторинга доступа']</t>
  </si>
  <si>
    <t>['Resource Attribute - атрибут ресурса', 'Old Value - старое значение', 'New Value - новое значение', 'Subject - субъект изменения']</t>
  </si>
  <si>
    <t>Тип</t>
  </si>
  <si>
    <t>Название</t>
  </si>
  <si>
    <t>Типичный источник событий</t>
  </si>
  <si>
    <t>Пример</t>
  </si>
  <si>
    <t>Interactive</t>
  </si>
  <si>
    <t>Прямой вход с клавиатуры на локальную машину (Ctrl+Alt+Del).</t>
  </si>
  <si>
    <t>Локальная консоль, KVM.</t>
  </si>
  <si>
    <t>Вход на свой рабочий компьютер в офисе.</t>
  </si>
  <si>
    <t>Network</t>
  </si>
  <si>
    <t>Сетевой доступ к ресурсам (аутентификация для доступа к общим ресурсам).</t>
  </si>
  <si>
    <t>Сетевая файловая система (SMB, NetLogon).</t>
  </si>
  <si>
    <t>Подключение к сетевой папке \server\share.</t>
  </si>
  <si>
    <t>Service</t>
  </si>
  <si>
    <t>Вход учетной записи службы при её запуске.</t>
  </si>
  <si>
    <t>Менеджер управления службами.</t>
  </si>
  <si>
    <t>Запуск службы SQL Server или планировщика заданий.</t>
  </si>
  <si>
    <t>Unlock</t>
  </si>
  <si>
    <t>Разблокировка заблокированной рабочей станции.</t>
  </si>
  <si>
    <t>Рабочая станция (Winlogon).</t>
  </si>
  <si>
    <t>Возврат к компьютеру и ввод пароля после режима ожидания.</t>
  </si>
  <si>
    <t>Remote Interactive</t>
  </si>
  <si>
    <t>Удаленный интерактивный вход (RDP, удаленный помощник).</t>
  </si>
  <si>
    <t>Служба удаленных рабочих столов (Terminal Services).</t>
  </si>
  <si>
    <t>Подключение к серверу через Remote Desktop.</t>
  </si>
  <si>
    <t>Код</t>
  </si>
  <si>
    <t>Причина</t>
  </si>
  <si>
    <t>0xC0000064</t>
  </si>
  <si>
    <t>Имя пользователя не существует</t>
  </si>
  <si>
    <t>0xC000006A</t>
  </si>
  <si>
    <t>Неверное имя пользователя или пароль</t>
  </si>
  <si>
    <t>0xC000006D</t>
  </si>
  <si>
    <t>Неверное имя пользователя или пароль (более общее)</t>
  </si>
  <si>
    <t>0xC000006E</t>
  </si>
  <si>
    <t>Учетная запись отключена</t>
  </si>
  <si>
    <t>0xC000006F</t>
  </si>
  <si>
    <t>Вход вне разрешенного времени</t>
  </si>
  <si>
    <t>0xC0000070</t>
  </si>
  <si>
    <t>Вход с неразрешенной рабочей станции</t>
  </si>
  <si>
    <t>0xC0000071</t>
  </si>
  <si>
    <t>Срок действия пароля истек</t>
  </si>
  <si>
    <t>0xC0000072</t>
  </si>
  <si>
    <t>0xC0000193</t>
  </si>
  <si>
    <t>Срок действия учетной записи истек</t>
  </si>
  <si>
    <t>0xC0000224</t>
  </si>
  <si>
    <t>Требуется смена пароля</t>
  </si>
  <si>
    <t>0xC0000234</t>
  </si>
  <si>
    <t>Учетная запись заблокирована</t>
  </si>
  <si>
    <t>Error Code</t>
  </si>
  <si>
    <t>Десятичный код</t>
  </si>
  <si>
    <t>Типичные события</t>
  </si>
  <si>
    <t>Значение для SOC</t>
  </si>
  <si>
    <t>Рекомендации</t>
  </si>
  <si>
    <t>0x0</t>
  </si>
  <si>
    <t>STATUS_SUCCESS / ERROR_SUCCESS</t>
  </si>
  <si>
    <t>Успех</t>
  </si>
  <si>
    <t>Операция выполнена успешно</t>
  </si>
  <si>
    <t>4624 (успешный вход), 4768 (успешный TGT), 4769 (успешный TGS)</t>
  </si>
  <si>
    <t>Нормальная операция, не требует внимания</t>
  </si>
  <si>
    <t>Использовать как baseline для сравнения с неудачными операциями</t>
  </si>
  <si>
    <t>STATUS_NO_SUCH_USER</t>
  </si>
  <si>
    <t>Ошибки аутентификации</t>
  </si>
  <si>
    <t>4625 (неудачный вход), 4771 (неудачный Kerberos)</t>
  </si>
  <si>
    <t>Возможна разведка (username enumeration) или опечатка</t>
  </si>
  <si>
    <t>STATUS_WRONG_PASSWORD</t>
  </si>
  <si>
    <t>Неверный пароль для существующего пользователя</t>
  </si>
  <si>
    <t>4625 (неудачный вход), 4776 (неудачный NTLM)</t>
  </si>
  <si>
    <t>Brute-force атака или забытый пароль</t>
  </si>
  <si>
    <t>STATUS_LOGON_FAILURE</t>
  </si>
  <si>
    <t>Неверное имя пользователя или пароль (общая ошибка)</t>
  </si>
  <si>
    <t>4625 (неудачный вход), 4771, 4776</t>
  </si>
  <si>
    <t>Наиболее частая ошибка аутентификации</t>
  </si>
  <si>
    <t>STATUS_ACCOUNT_RESTRICTION</t>
  </si>
  <si>
    <t>4625 (неудачный вход)</t>
  </si>
  <si>
    <t>STATUS_INVALID_LOGON_HOURS</t>
  </si>
  <si>
    <t>Попытка входа в нерабочее время</t>
  </si>
  <si>
    <t>STATUS_INVALID_WORKSTATION</t>
  </si>
  <si>
    <t>Пользователю запрещен вход с этой рабочей станции</t>
  </si>
  <si>
    <t>Попытка входа с неавторизованного компьютера</t>
  </si>
  <si>
    <t>STATUS_PASSWORD_EXPIRED</t>
  </si>
  <si>
    <t>Пользователь пытается войти с истекшим паролем</t>
  </si>
  <si>
    <t>STATUS_ACCOUNT_DISABLED</t>
  </si>
  <si>
    <t>Аналогично 0xC000006E, альтернативный код</t>
  </si>
  <si>
    <t>STATUS_ACCOUNT_EXPIRED</t>
  </si>
  <si>
    <t>Попытка входа в учетную запись с истекшим сроком</t>
  </si>
  <si>
    <t>STATUS_PASSWORD_MUST_CHANGE</t>
  </si>
  <si>
    <t>Требуется смена пароля при следующем входе</t>
  </si>
  <si>
    <t>Пользователь должен сменить пароль</t>
  </si>
  <si>
    <t>STATUS_ACCOUNT_LOCKED_OUT</t>
  </si>
  <si>
    <t>Результат множественных неудачных попыток входа</t>
  </si>
  <si>
    <t>0x12</t>
  </si>
  <si>
    <t>KRB_AP_ERR_SKEW</t>
  </si>
  <si>
    <t>Kerberos ошибки</t>
  </si>
  <si>
    <t>Расхождение во времени (clock skew)</t>
  </si>
  <si>
    <t>4768, 4769, 4771</t>
  </si>
  <si>
    <t>Синхронизация времени нарушена</t>
  </si>
  <si>
    <t>0x1F</t>
  </si>
  <si>
    <t>KRB_AP_ERR_MODIFIED</t>
  </si>
  <si>
    <t>Билет был изменен</t>
  </si>
  <si>
    <t>4768, 4769</t>
  </si>
  <si>
    <t>Возможная компрометация или подделка билета</t>
  </si>
  <si>
    <t>0x20</t>
  </si>
  <si>
    <t>KRB_AP_PATH_NOT_ACCEPTED</t>
  </si>
  <si>
    <t>Путь делегирования не принят</t>
  </si>
  <si>
    <t>4769 (TGS запрос)</t>
  </si>
  <si>
    <t>Проблемы с делегированием Kerberos</t>
  </si>
  <si>
    <t>0x6</t>
  </si>
  <si>
    <t>KRB_ERR_GENERIC / KDC_ERR_PREAUTH_FAILED</t>
  </si>
  <si>
    <t>Ошибка предварительной аутентификации Kerberos</t>
  </si>
  <si>
    <t>4771 (неудачный Kerberos)</t>
  </si>
  <si>
    <t>AS-REP Roasting (запрос TGT без предаутентификации)</t>
  </si>
  <si>
    <t>0x7</t>
  </si>
  <si>
    <t>KRB_AP_ERR_TKT_NYV</t>
  </si>
  <si>
    <t>Билет еще не действителен (not yet valid)</t>
  </si>
  <si>
    <t>Проблемы с синхронизацией времени</t>
  </si>
  <si>
    <t>0x8</t>
  </si>
  <si>
    <t>KRB_AP_ERR_REPEAT</t>
  </si>
  <si>
    <t>Повторный запрос билета</t>
  </si>
  <si>
    <t>Возможная атака reply или проблемы с кэшированием</t>
  </si>
  <si>
    <t>0xC</t>
  </si>
  <si>
    <t>KRB_AP_ERR_BADMATCH</t>
  </si>
  <si>
    <t>Несоответствие в запросе билета</t>
  </si>
  <si>
    <t>Возможная подделка или повреждение билета</t>
  </si>
  <si>
    <t>STATUS_WRONG_PASSWORD (NTLM)</t>
  </si>
  <si>
    <t>NTLM ошибки</t>
  </si>
  <si>
    <t>Неверный пароль при NTLM аутентификации</t>
  </si>
  <si>
    <t>4776 (неудачная NTLM аутентификация)</t>
  </si>
  <si>
    <t>Brute-force через NTLM</t>
  </si>
  <si>
    <t>STATUS_PASSWORD_MUST_CHANGE (NTLM)</t>
  </si>
  <si>
    <t>Требуется смена пароля при NTLM аутентификации</t>
  </si>
  <si>
    <t>STATUS_ACCOUNT_LOCKED_OUT (NTLM)</t>
  </si>
  <si>
    <t>Учетная запись заблокирована при NTLM аутентификации</t>
  </si>
  <si>
    <t>Результат множественных неудачных NTLM попыток</t>
  </si>
  <si>
    <t>0xC0000022</t>
  </si>
  <si>
    <t>STATUS_ACCESS_DENIED</t>
  </si>
  <si>
    <t>Ошибки доступа к объектам</t>
  </si>
  <si>
    <t>Доступ запрещен</t>
  </si>
  <si>
    <t>4656, 4663, 4670</t>
  </si>
  <si>
    <t>Попытка несанкционированного доступа к объекту</t>
  </si>
  <si>
    <t>0xC0000034</t>
  </si>
  <si>
    <t>STATUS_OBJECT_NAME_NOT_FOUND</t>
  </si>
  <si>
    <t>Объект не найден</t>
  </si>
  <si>
    <t>4656, 4663</t>
  </si>
  <si>
    <t>Попытка доступа к несуществующему объекту</t>
  </si>
  <si>
    <t>0xC000003A</t>
  </si>
  <si>
    <t>STATUS_OBJECT_PATH_NOT_FOUND</t>
  </si>
  <si>
    <t>Путь к объекту не найден</t>
  </si>
  <si>
    <t>Попытка доступа по несуществующему пути</t>
  </si>
  <si>
    <t>0xC0000056</t>
  </si>
  <si>
    <t>STATUS_DELETE_PENDING</t>
  </si>
  <si>
    <t>Объект ожидает удаления</t>
  </si>
  <si>
    <t>Попытка доступа к удаляемому объекту</t>
  </si>
  <si>
    <t>0xC0000077</t>
  </si>
  <si>
    <t>STATUS_INVALID_PARAMETER</t>
  </si>
  <si>
    <t>Недопустимый параметр</t>
  </si>
  <si>
    <t>Попытка доступа с неверными параметрами</t>
  </si>
  <si>
    <t>0xC000009A</t>
  </si>
  <si>
    <t>STATUS_INSUFFICIENT_RESOURCES</t>
  </si>
  <si>
    <t>Недостаточно ресурсов</t>
  </si>
  <si>
    <t>Система перегружена или атака на отказ в обслуживании</t>
  </si>
  <si>
    <t>0xC0000035</t>
  </si>
  <si>
    <t>STATUS_OBJECT_NAME_COLLISION</t>
  </si>
  <si>
    <t>Ошибки реестра</t>
  </si>
  <si>
    <t>Конфликт имен объектов (уже существует)</t>
  </si>
  <si>
    <t>4657 (изменение реестра)</t>
  </si>
  <si>
    <t>Попытка создания дублирующего ключа реестра</t>
  </si>
  <si>
    <t>0xC0000037</t>
  </si>
  <si>
    <t>STATUS_OBJECT_PATH_INVALID</t>
  </si>
  <si>
    <t>Недопустимый путь к объекту</t>
  </si>
  <si>
    <t>Попытка доступа к невалидному пути реестра</t>
  </si>
  <si>
    <t>0xC0000205</t>
  </si>
  <si>
    <t>STATUS_PORT_DISCONNECTED</t>
  </si>
  <si>
    <t>Сетевые ошибки</t>
  </si>
  <si>
    <t>Порт отключен</t>
  </si>
  <si>
    <t>5156, 5157 (WFP события)</t>
  </si>
  <si>
    <t>Попытка подключения к закрытому порту</t>
  </si>
  <si>
    <t>0xC0000206</t>
  </si>
  <si>
    <t>STATUS_DEVICE_ALREADY_ATTACHED</t>
  </si>
  <si>
    <t>Устройство уже подключено</t>
  </si>
  <si>
    <t>5156, 5157</t>
  </si>
  <si>
    <t>Повторные попытки подключения</t>
  </si>
  <si>
    <t>0xC0000235</t>
  </si>
  <si>
    <t>STATUS_NETWORK_UNREACHABLE</t>
  </si>
  <si>
    <t>Сеть недоступна</t>
  </si>
  <si>
    <t>Проблемы с подключением или блокировка</t>
  </si>
  <si>
    <t>0xC0000236</t>
  </si>
  <si>
    <t>STATUS_HOST_UNREACHABLE</t>
  </si>
  <si>
    <t>Хост недоступен</t>
  </si>
  <si>
    <t>Попытка подключения к недоступному хосту</t>
  </si>
  <si>
    <t>0xC0000061</t>
  </si>
  <si>
    <t>STATUS_PRIVILEGE_NOT_HELD</t>
  </si>
  <si>
    <t>Ошибки привилегий</t>
  </si>
  <si>
    <t>Требуемая привилегия отсутствует</t>
  </si>
  <si>
    <t>4672, 4673, 4688</t>
  </si>
  <si>
    <t>Попытка выполнения привилегированной операции без прав</t>
  </si>
  <si>
    <t>0xC000009E</t>
  </si>
  <si>
    <t>STATUS_PRIVILEGED_INSTRUCTION</t>
  </si>
  <si>
    <t>Попытка выполнения привилегированной инструкции</t>
  </si>
  <si>
    <t>4688, 4673</t>
  </si>
  <si>
    <t>Попытка выполнения кода ядра из пользовательского режима</t>
  </si>
  <si>
    <t>0xC0000005</t>
  </si>
  <si>
    <t>STATUS_ACCESS_VIOLATION</t>
  </si>
  <si>
    <t>Ошибки процессов</t>
  </si>
  <si>
    <t>Нарушение доступа (Access Violation)</t>
  </si>
  <si>
    <t>4688, 4689, Sysmon события</t>
  </si>
  <si>
    <t>Попытка доступа к запрещенной области памяти</t>
  </si>
  <si>
    <t>0xC000001D</t>
  </si>
  <si>
    <t>STATUS_ILLEGAL_INSTRUCTION</t>
  </si>
  <si>
    <t>Недопустимая инструкция процессора</t>
  </si>
  <si>
    <t>4688, 4689</t>
  </si>
  <si>
    <t>Возможное повреждение кода или эксплойт</t>
  </si>
  <si>
    <t>0xC0000026</t>
  </si>
  <si>
    <t>STATUS_HANDLE_NOT_CLOSED</t>
  </si>
  <si>
    <t>Дескриптор не закрыт</t>
  </si>
  <si>
    <t>4689 (завершение процесса)</t>
  </si>
  <si>
    <t>Утечка ресурсов или аномальное завершение</t>
  </si>
  <si>
    <t>0xC0000027</t>
  </si>
  <si>
    <t>STATUS_INVALID_LOCK_SEQUENCE</t>
  </si>
  <si>
    <t>Недопустимая последовательность блокировок</t>
  </si>
  <si>
    <t>Возможная race condition атака или баг</t>
  </si>
  <si>
    <t>0xC0000029</t>
  </si>
  <si>
    <t>STATUS_INVALID_PARAMETER_MIX</t>
  </si>
  <si>
    <t>Недопустимое сочетание параметров</t>
  </si>
  <si>
    <t>Попытка вызова API с неверными параметрами</t>
  </si>
  <si>
    <t>0xC0000038</t>
  </si>
  <si>
    <t>STATUS_OBJECT_TYPE_MISMATCH</t>
  </si>
  <si>
    <t>Несоответствие типа объекта</t>
  </si>
  <si>
    <t>4688, Sysmon события</t>
  </si>
  <si>
    <t>Попытка использовать объект не по назначению</t>
  </si>
  <si>
    <t>0xC0000041</t>
  </si>
  <si>
    <t>STATUS_THREAD_IS_TERMINATING</t>
  </si>
  <si>
    <t>Поток завершается</t>
  </si>
  <si>
    <t>Аномальное завершение потока</t>
  </si>
  <si>
    <t>0xC0000043</t>
  </si>
  <si>
    <t>Порт отключен (альтернативный код)</t>
  </si>
  <si>
    <t>Проблемы межпроцессного взаимодействия</t>
  </si>
  <si>
    <t>0xC000008C</t>
  </si>
  <si>
    <t>STATUS_FLOAT_OVERFLOW</t>
  </si>
  <si>
    <t>Переполнение при операции с плавающей точкой</t>
  </si>
  <si>
    <t>Возможный эксплойт или ошибка в вычислениях</t>
  </si>
  <si>
    <t>0xC000008D</t>
  </si>
  <si>
    <t>STATUS_FLOAT_UNDERFLOW</t>
  </si>
  <si>
    <t>Исчезновение порядка при операции с плавающей точкой</t>
  </si>
  <si>
    <t>Аналогично STATUS_FLOAT_OVERFLOW</t>
  </si>
  <si>
    <t>0xC000008E</t>
  </si>
  <si>
    <t>STATUS_FLOAT_STACK_CHECK</t>
  </si>
  <si>
    <t>Ошибка проверки стека при операции с плавающей точкой</t>
  </si>
  <si>
    <t>Возможное повреждение стека</t>
  </si>
  <si>
    <t>0xC00000FD</t>
  </si>
  <si>
    <t>STATUS_STACK_OVERFLOW</t>
  </si>
  <si>
    <t>Переполнение стека</t>
  </si>
  <si>
    <t>Классический индикатор рекурсивных эксплойтов</t>
  </si>
  <si>
    <t>0xC0000135</t>
  </si>
  <si>
    <t>STATUS_DLL_NOT_FOUND</t>
  </si>
  <si>
    <t>DLL не найдена</t>
  </si>
  <si>
    <t>4688 (создание процесса)</t>
  </si>
  <si>
    <t>Попытка загрузки отсутствующей DLL</t>
  </si>
  <si>
    <t>0xC0000139</t>
  </si>
  <si>
    <t>STATUS_ENTRYPOINT_NOT_FOUND</t>
  </si>
  <si>
    <t>Точка входа в DLL не найдена</t>
  </si>
  <si>
    <t>Попытка вызова несуществующей функции DLL</t>
  </si>
  <si>
    <t>0xC0000142</t>
  </si>
  <si>
    <t>STATUS_DLL_INIT_FAILED</t>
  </si>
  <si>
    <t>Ошибка инициализации DLL</t>
  </si>
  <si>
    <t>Проблемы с загрузкой DLL</t>
  </si>
  <si>
    <t>STATUS_ACCESS_DENIED (Service)</t>
  </si>
  <si>
    <t>Ошибки служб</t>
  </si>
  <si>
    <t>Доступ запрещен при управлении службой</t>
  </si>
  <si>
    <t>4697, 4698</t>
  </si>
  <si>
    <t>Попытка несанкционированного управления службой</t>
  </si>
  <si>
    <t>STATUS_OBJECT_NAME_NOT_FOUND (Service)</t>
  </si>
  <si>
    <t>Служба не найдена</t>
  </si>
  <si>
    <t>Попытка управления несуществующей службой</t>
  </si>
  <si>
    <t>STATUS_INVALID_PARAMETER (Service)</t>
  </si>
  <si>
    <t>Недопустимый параметр службы</t>
  </si>
  <si>
    <t>Попытка создания службы с неверными параметрами</t>
  </si>
  <si>
    <t>0xC0000218</t>
  </si>
  <si>
    <t>STATUS_CANNOT_LOAD_REGISTRY_FILE</t>
  </si>
  <si>
    <t>Критические системные ошибки</t>
  </si>
  <si>
    <t>Невозможно загрузить файл реестра</t>
  </si>
  <si>
    <t>Загрузка системы, BSOD</t>
  </si>
  <si>
    <t>Критическое повреждение реестра</t>
  </si>
  <si>
    <t>0xC000021A</t>
  </si>
  <si>
    <t>STATUS_SYSTEM_PROCESS_TERMINATED</t>
  </si>
  <si>
    <t>Критический системный процесс завершен</t>
  </si>
  <si>
    <t>Системные краши, BSOD</t>
  </si>
  <si>
    <t>КРИТИЧЕСКАЯ ошибка, часто приводит к BSOD</t>
  </si>
  <si>
    <t>0xC0000221</t>
  </si>
  <si>
    <t>STATUS_IMAGE_CHECKSUM_MISMATCH</t>
  </si>
  <si>
    <t>Несовпадение контрольной суммы образа</t>
  </si>
  <si>
    <t>Загрузка драйверов, системных DLL</t>
  </si>
  <si>
    <t>Файл поврежден или изменен</t>
  </si>
  <si>
    <t>0x5</t>
  </si>
  <si>
    <t>ERROR_ACCESS_DENIED (RPC)</t>
  </si>
  <si>
    <t>RPC ошибки</t>
  </si>
  <si>
    <t>Доступ запрещен при RPC вызове</t>
  </si>
  <si>
    <t>RPC события</t>
  </si>
  <si>
    <t>Попытка несанкционированного RPC доступа</t>
  </si>
  <si>
    <t>0x6BA</t>
  </si>
  <si>
    <t>RPC_S_SERVER_UNAVAILABLE</t>
  </si>
  <si>
    <t>RPC сервер недоступен</t>
  </si>
  <si>
    <t>RPC события, lateral movement</t>
  </si>
  <si>
    <t>Попытка RPC вызова к недоступному серверу</t>
  </si>
  <si>
    <t>0x80041001</t>
  </si>
  <si>
    <t>WBEM_E_FAILED</t>
  </si>
  <si>
    <t>WMI ошибки</t>
  </si>
  <si>
    <t>Общая ошибка WMI</t>
  </si>
  <si>
    <t>WMI события, Sysmon 19-21</t>
  </si>
  <si>
    <t>Ошибка выполнения WMI операции</t>
  </si>
  <si>
    <t>0x80041003</t>
  </si>
  <si>
    <t>WBEM_E_ACCESS_DENIED</t>
  </si>
  <si>
    <t>Доступ запрещен к WMI</t>
  </si>
  <si>
    <t>WMI события</t>
  </si>
  <si>
    <t>Попытка несанкционированного доступа к WMI</t>
  </si>
  <si>
    <t>0x8009030E</t>
  </si>
  <si>
    <t>SEC_E_LOGON_DENIED</t>
  </si>
  <si>
    <t>Ошибки безопасности</t>
  </si>
  <si>
    <t>Вход отклонен службой безопасности</t>
  </si>
  <si>
    <t>Аутентификация, SSPI ошибки</t>
  </si>
  <si>
    <t>Общая ошибка безопасности при аутентификации</t>
  </si>
  <si>
    <t>0x80090322</t>
  </si>
  <si>
    <t>-2146893022</t>
  </si>
  <si>
    <t>SEC_E_UNSUPPORTED_FUNCTION</t>
  </si>
  <si>
    <t>Неподдерживаемая функция безопасности</t>
  </si>
  <si>
    <t>Schannel, TLS ошибки</t>
  </si>
  <si>
    <t>Попытка использования неподдерживаемой security функции</t>
  </si>
  <si>
    <t>['Может быть индикатором downgrade атак', 'Проверить настройки шифрования и протоколов']</t>
  </si>
  <si>
    <t>Доступ к хешу пароля учетной записи</t>
  </si>
  <si>
    <t>Попытка чтения или копирования хеша пароля учетной записи</t>
  </si>
  <si>
    <t>Содержит информацию об учетной записи, процессе, запросившем доступ, и времени события</t>
  </si>
  <si>
    <t>['Административное обслуживание', 'Форензика', 'Тестирование на проникновение']</t>
  </si>
  <si>
    <t>['Target Account - целевая учетная запись', 'Process Name - процесс, запросивший доступ', 'Access Mask - запрашиваемые права']</t>
  </si>
  <si>
    <t>Попытка изменения политики аудита безопасности</t>
  </si>
  <si>
    <t>Содержит информацию о субъекте, категории аудита и изменениях</t>
  </si>
  <si>
    <t xml:space="preserve">SeSecurityPrivilege </t>
  </si>
  <si>
    <t>Был изменен CrashOnAuditFail</t>
  </si>
  <si>
    <t>Изменение значения CrashOnAuditFail (перезагрузка при переполнении журнала аудита)</t>
  </si>
  <si>
    <t>Содержит информацию о старом и новом значении, субъекте изменения</t>
  </si>
  <si>
    <t>['Настройка параметров аудита системы']</t>
  </si>
  <si>
    <t>['Old Value - старое значение', 'New Value - новое значение', 'Subject - субъект изменения']</t>
  </si>
  <si>
    <t>Были изменены настройки аудита для объекта</t>
  </si>
  <si>
    <t>Изменение SACL (списка управления доступом к аудиту) для объекта</t>
  </si>
  <si>
    <t>Содержит информацию об объекте, старых и новых SACL, субъекте изменения</t>
  </si>
  <si>
    <t>['Настройка детального аудита доступа к файлам', 'Изменение политик мониторинга']</t>
  </si>
  <si>
    <t>['Object Name - имя объекта', 'Object Type - тип объекта', 'Old SACL - старые настройки', 'New SACL - новые настройки']</t>
  </si>
  <si>
    <t>Удаление объекта</t>
  </si>
  <si>
    <t>Был удален файл, ключ реестра или другой объект (при включенном детальном аудите)</t>
  </si>
  <si>
    <t>Содержит информацию об удаленном объекте, процессе, инициировавшем удаление, и времени события</t>
  </si>
  <si>
    <t>['Нормальное удаление файлов пользователем', 'Очистка временных данных приложениями', 'Административное удаление объектов']</t>
  </si>
  <si>
    <t>['Object Name - имя объекта', 'Object Type - тип объекта', 'Process Name - процесс', 'Accesses - тип доступа (DELETE)']</t>
  </si>
  <si>
    <t>Брандмауэр Windows заблокировал подключение</t>
  </si>
  <si>
    <t>Windows Filtering Platform заблокировал сетевой трафик по правилу</t>
  </si>
  <si>
    <t>Содержит информацию о правиле, процессе, протоколе, портах, IP адресах и причине блокировки</t>
  </si>
  <si>
    <t>['Нормальная работа брандмауэра', 'Блокировка атак из внешних сетей', 'Предотвращение утечки данных']</t>
  </si>
  <si>
    <t>['Rule Name - имя правила', 'Process Name - процесс', 'Direction - направление', 'Source/Destination IP', 'Protocol - протокол', 'Reason - причина блокировки']</t>
  </si>
  <si>
    <t>RDP (RemoteConnectionManager)</t>
  </si>
  <si>
    <t>Remote Desktop Services: User authentication succeeded</t>
  </si>
  <si>
    <t>Microsoft-Windows-TerminalServices-RemoteConnectionManager/Operational</t>
  </si>
  <si>
    <t>Содержит данные об аутентификации: пользователь, домен, IP-адрес источника, протокол.</t>
  </si>
  <si>
    <t>['Легитимный удаленный доступ администратора', 'Подключение пользователя к рабочему столу VDI/RDS']</t>
  </si>
  <si>
    <t>['User', 'Domain', 'SourceNetworkAddress', 'Protocol']</t>
  </si>
  <si>
    <t>Политики безопасности (ограничение по IP, время доступа), блокировка учетной записи.</t>
  </si>
  <si>
    <t>Прослушиватель RDP-Tcp получил соединение</t>
  </si>
  <si>
    <t>['Нормальная попытка подключения пользователя', 'Автоматизированные проверки доступности сервиса']</t>
  </si>
  <si>
    <t>['SourceNetworkAddress', 'ListenerName']</t>
  </si>
  <si>
    <t>Правила брандмауэра Windows или сетевого экрана, блокирующие порт 3389/TCP.</t>
  </si>
  <si>
    <t>Прослушиватель RDP-Tcp начал прослушивание</t>
  </si>
  <si>
    <t>Служба RDP (Terminal Services) запустила прослушиватель на порту.</t>
  </si>
  <si>
    <t>Служба начала ожидать входящих подключений.</t>
  </si>
  <si>
    <t>['Штатный запуск на RDS-сервере', 'Администратор вручную включает службу для удаленного доступа']</t>
  </si>
  <si>
    <t>['ListenerName', 'PortNumber']</t>
  </si>
  <si>
    <t>Графический режим WDDM включен</t>
  </si>
  <si>
    <t>Переключение сессии на использование драйвера дисплея WDDM.</t>
  </si>
  <si>
    <t>Техническая деталь о графическом стеке для улучшения производительности.</t>
  </si>
  <si>
    <t>Крайне низка. Теоретически, нестандартный драйвер может использоваться для уязвимостей, но это маловероятно.</t>
  </si>
  <si>
    <t>['Подключение с клиента Windows с современной графикой', 'Автоматический выбор графического стека']</t>
  </si>
  <si>
    <t>['SessionID']</t>
  </si>
  <si>
    <t>Диспетчер удаленных подключений выбрал стек протоколов RDP режима ядра</t>
  </si>
  <si>
    <t>Выбор сетевого стека для обработки RDP-трафика.</t>
  </si>
  <si>
    <t>Указывает на использование высокопроизводительного стека "kernel-mode".</t>
  </si>
  <si>
    <t>Маловероятен.</t>
  </si>
  <si>
    <t>['Инициализация соединения на серверах с высокой нагрузкой']</t>
  </si>
  <si>
    <t>['SessionID', 'StackName']</t>
  </si>
  <si>
    <t>Назначение класса терминала для нового подключения.</t>
  </si>
  <si>
    <t>Внутренний идентификатор для управления сессией.</t>
  </si>
  <si>
    <t>['Создание новой сессии удаленного рабочего стола']</t>
  </si>
  <si>
    <t>['SessionID', 'TerminalClass']</t>
  </si>
  <si>
    <t>Изменение параметра политики, ограничивающего кэш профилей пользователей.</t>
  </si>
  <si>
    <t>Указывает на отключение ограничения размера профиля.</t>
  </si>
  <si>
    <t>['Административная настройка сервера для увеличения лимита профилей']</t>
  </si>
  <si>
    <t>['PolicyName', 'NewValue']</t>
  </si>
  <si>
    <t>Групповая политика, применяющая другое значение.</t>
  </si>
  <si>
    <t>Не установлена роль сервера узлов сеансов удаленных рабочих столов</t>
  </si>
  <si>
    <t>Информационное</t>
  </si>
  <si>
    <t>Попытка использовать функциональность RDS на системе без установленной соответствующей роли.</t>
  </si>
  <si>
    <t>Ошибка конфигурации: служба пытается выполнить действие, для которого не установлена полная роль RDS.</t>
  </si>
  <si>
    <t>Маловероятен, это скорее ошибка конфигурации.</t>
  </si>
  <si>
    <t>['Попытка запуска RDS-функции на обычном сервере или рабочей станции']</t>
  </si>
  <si>
    <t>['ErrorCode', 'MissingComponent']</t>
  </si>
  <si>
    <t>Отсутствие необходимого компонента Windows.</t>
  </si>
  <si>
    <t>Успешная аутентификация пользователя через RDP. Это ключевое событие начала сессии.</t>
  </si>
  <si>
    <t>SeRemoteInteractiveLogonRight</t>
  </si>
  <si>
    <t>Установка сетевого подключения к прослушивателю RDP. Не означает успешный логин.</t>
  </si>
  <si>
    <t>Факт установки TCP-соединения (SYN, ACK).</t>
  </si>
  <si>
    <t>Не требуются (доступность порта)</t>
  </si>
  <si>
    <t>Групповая политика, отключающая службу "Удаленный рабочий стол" (Terminal Services).</t>
  </si>
  <si>
    <t>SeServiceLogonRight</t>
  </si>
  <si>
    <t>Неприменимо</t>
  </si>
  <si>
    <t>Для подключения от прослушивателя RDP-Tcp будет задан класс терминала {5828227c-20cf-4408-b73f-73ab70b8849f}</t>
  </si>
  <si>
    <t>Параметр 'Limit the size of the entire roaming user profile cache' групповой политики был выключен</t>
  </si>
  <si>
    <t>Права администратора для изменения политики</t>
  </si>
  <si>
    <t>Права на установку ролей Windows</t>
  </si>
  <si>
    <t>Колонка</t>
  </si>
  <si>
    <t>Назначение и описание</t>
  </si>
  <si>
    <t>Уникальный числовой идентификатор события в системе Windows. Основной ключ для поиска в логах и документации.</t>
  </si>
  <si>
    <t>Человекочитаемое название события на русском языке, которое даёт первое понимание о происходящем.</t>
  </si>
  <si>
    <t>Важность (ИБ)</t>
  </si>
  <si>
    <t>Критическая / Высокая / Средняя / Низкая / Информационное</t>
  </si>
  <si>
    <t>Высокая / Средняя / Низкая / Очень низкая</t>
  </si>
  <si>
    <t>Оценка того, как часто это событие встречается в нормальных условиях эксплуатации. Высокая частота может означать «шумность» события.</t>
  </si>
  <si>
    <t>Краткое, емкое объяснение сути события: что произошло и в каком контексте.</t>
  </si>
  <si>
    <t>Детализация о том, какую конкретную информацию содержит запись события в логе.</t>
  </si>
  <si>
    <t>Индикаторы атаки (IoC)</t>
  </si>
  <si>
    <t>Конкретные признаки в контексте этого события, которые с высокой вероятностью указывают на злонамеренную активность (например, имена специфических процессов, параметры, временные метки).</t>
  </si>
  <si>
    <t>Практические советы по тому, на что обращать внимание и как эффективно выявлять аномалии, связанные с этим событием.</t>
  </si>
  <si>
    <t>Готовый шаблон запроса (часто для Splunk или аналогичных систем) для поиска подозрительных экземпляров данного события.</t>
  </si>
  <si>
    <t>Идентификатор тактики, техники или процедуры (TTP) по фреймворку MITRE ATT&amp;CK, с которой связано данное событие. Позволяет понять мотив и метод злоумышленника.</t>
  </si>
  <si>
    <t>Объяснение, почему операция, связанная с событием, могла не произойти или завершиться ошибкой (например, недостаток привилегий, блокировка политикой).</t>
  </si>
  <si>
    <t>Примеры легитимной, нормальной активности, которая также вызывает данное событие. Необходимо для снижения ложных срабатываний.</t>
  </si>
  <si>
    <t>Факторы (политики, правила), которые могут предотвратить саму возможность возникновения этого события (например, правило брандмауэра блокирует подключение).</t>
  </si>
  <si>
    <t>Документация</t>
  </si>
  <si>
    <t>Ссылка на официальный источник информации (обычно docs.microsoft.com) для данного Event ID.</t>
  </si>
  <si>
    <r>
      <t>Группа, к которой относится событие с точки зрения функциональности Windows (например, </t>
    </r>
    <r>
      <rPr>
        <sz val="10"/>
        <color theme="1"/>
        <rFont val="Consolas"/>
        <family val="3"/>
        <charset val="204"/>
      </rPr>
      <t>Аутентификация</t>
    </r>
    <r>
      <rPr>
        <sz val="11"/>
        <color theme="1"/>
        <rFont val="Segoe UI"/>
        <family val="2"/>
        <charset val="204"/>
      </rPr>
      <t>, </t>
    </r>
    <r>
      <rPr>
        <sz val="10"/>
        <color theme="1"/>
        <rFont val="Consolas"/>
        <family val="3"/>
        <charset val="204"/>
      </rPr>
      <t>RDP</t>
    </r>
    <r>
      <rPr>
        <sz val="11"/>
        <color theme="1"/>
        <rFont val="Segoe UI"/>
        <family val="2"/>
        <charset val="204"/>
      </rPr>
      <t>, </t>
    </r>
    <r>
      <rPr>
        <sz val="10"/>
        <color theme="1"/>
        <rFont val="Consolas"/>
        <family val="3"/>
        <charset val="204"/>
      </rPr>
      <t>Аудит</t>
    </r>
    <r>
      <rPr>
        <sz val="11"/>
        <color theme="1"/>
        <rFont val="Segoe UI"/>
        <family val="2"/>
        <charset val="204"/>
      </rPr>
      <t>). Помогает быстро фильтровать события по типу активности.</t>
    </r>
  </si>
  <si>
    <r>
      <t>Имя журнала Windows, в котором регистрируется данное событие (например, </t>
    </r>
    <r>
      <rPr>
        <sz val="10"/>
        <color theme="1"/>
        <rFont val="Consolas"/>
        <family val="3"/>
        <charset val="204"/>
      </rPr>
      <t>Security</t>
    </r>
    <r>
      <rPr>
        <sz val="11"/>
        <color theme="1"/>
        <rFont val="Segoe UI"/>
        <family val="2"/>
        <charset val="204"/>
      </rPr>
      <t>, </t>
    </r>
    <r>
      <rPr>
        <sz val="10"/>
        <color theme="1"/>
        <rFont val="Consolas"/>
        <family val="3"/>
        <charset val="204"/>
      </rPr>
      <t>Microsoft-Windows-PowerShell/Operational</t>
    </r>
    <r>
      <rPr>
        <sz val="11"/>
        <color theme="1"/>
        <rFont val="Segoe UI"/>
        <family val="2"/>
        <charset val="204"/>
      </rPr>
      <t>). Критично для правильной настройки сбора логов.</t>
    </r>
  </si>
  <si>
    <r>
      <t>Названия наиболее важных полей данных в записи события, которые необходимо анализировать для расследования (например, </t>
    </r>
    <r>
      <rPr>
        <sz val="10"/>
        <color theme="1"/>
        <rFont val="Consolas"/>
        <family val="3"/>
        <charset val="204"/>
      </rPr>
      <t>ProcessName</t>
    </r>
    <r>
      <rPr>
        <sz val="11"/>
        <color theme="1"/>
        <rFont val="Segoe UI"/>
        <family val="2"/>
        <charset val="204"/>
      </rPr>
      <t>, </t>
    </r>
    <r>
      <rPr>
        <sz val="10"/>
        <color theme="1"/>
        <rFont val="Consolas"/>
        <family val="3"/>
        <charset val="204"/>
      </rPr>
      <t>SourceIP</t>
    </r>
    <r>
      <rPr>
        <sz val="11"/>
        <color theme="1"/>
        <rFont val="Segoe UI"/>
        <family val="2"/>
        <charset val="204"/>
      </rPr>
      <t>).</t>
    </r>
  </si>
  <si>
    <r>
      <t>Специфические права Windows (например, </t>
    </r>
    <r>
      <rPr>
        <sz val="10"/>
        <color theme="1"/>
        <rFont val="Consolas"/>
        <family val="3"/>
        <charset val="204"/>
      </rPr>
      <t>SeDebugPrivilege</t>
    </r>
    <r>
      <rPr>
        <sz val="11"/>
        <color theme="1"/>
        <rFont val="Segoe UI"/>
        <family val="2"/>
        <charset val="204"/>
      </rPr>
      <t>), требующиеся учетной записи или процессу для выполнения операции, ведущей к событию.</t>
    </r>
  </si>
  <si>
    <t>Название колонки</t>
  </si>
  <si>
    <t>Официальное системное имя (константа) ошибки. Позволяет однозначно идентифицировать тип сбоя в документации и скриптах.</t>
  </si>
  <si>
    <t>Человекочитаемое пояснение сути ошибки: что именно пошло не так.</t>
  </si>
  <si>
    <t>Практические советы по мониторингу и реагированию: на что обращать внимание и как использовать этот код ошибки для обнаружения угроз.</t>
  </si>
  <si>
    <r>
      <t>Группа, к которой относится ошибка с точки зрения функциональности (например, </t>
    </r>
    <r>
      <rPr>
        <sz val="10"/>
        <color theme="1"/>
        <rFont val="Consolas"/>
        <family val="3"/>
        <charset val="204"/>
      </rPr>
      <t>Успех</t>
    </r>
    <r>
      <rPr>
        <sz val="11"/>
        <color theme="1"/>
        <rFont val="Segoe UI"/>
        <family val="2"/>
        <charset val="204"/>
      </rPr>
      <t>, </t>
    </r>
    <r>
      <rPr>
        <sz val="10"/>
        <color theme="1"/>
        <rFont val="Consolas"/>
        <family val="3"/>
        <charset val="204"/>
      </rPr>
      <t>Ошибки аутентификации</t>
    </r>
    <r>
      <rPr>
        <sz val="11"/>
        <color theme="1"/>
        <rFont val="Segoe UI"/>
        <family val="2"/>
        <charset val="204"/>
      </rPr>
      <t>, </t>
    </r>
    <r>
      <rPr>
        <sz val="10"/>
        <color theme="1"/>
        <rFont val="Consolas"/>
        <family val="3"/>
        <charset val="204"/>
      </rPr>
      <t>Ошибки доступа</t>
    </r>
    <r>
      <rPr>
        <sz val="11"/>
        <color theme="1"/>
        <rFont val="Segoe UI"/>
        <family val="2"/>
        <charset val="204"/>
      </rPr>
      <t>). Помогает быстро фильтровать ошибки по типу проблемы.</t>
    </r>
  </si>
  <si>
    <t>Десятичное представление того же кода ошибки. Может встречаться в некоторых системах или упрощать сравнение.</t>
  </si>
  <si>
    <t>Список Event ID, в контексте которых эта ошибка чаще всего встречается. Прямо связывает код с конкретными событиями безопасности.</t>
  </si>
  <si>
    <t>Интерпретация для аналитика: что может означать появление этой ошибки с точки зрения кибербезопасности — от нормальной операции до индикатора атаки.</t>
  </si>
  <si>
    <r>
      <t>Шестнадцатеричный код ошибки, как он представлен в логах Windows (чаще всего в поле </t>
    </r>
    <r>
      <rPr>
        <sz val="10"/>
        <color theme="1"/>
        <rFont val="Consolas"/>
        <family val="3"/>
        <charset val="204"/>
      </rPr>
      <t>Status</t>
    </r>
    <r>
      <rPr>
        <sz val="11"/>
        <color theme="1"/>
        <rFont val="Segoe UI"/>
        <family val="2"/>
        <charset val="204"/>
      </rPr>
      <t> или </t>
    </r>
    <r>
      <rPr>
        <sz val="10"/>
        <color theme="1"/>
        <rFont val="Consolas"/>
        <family val="3"/>
        <charset val="204"/>
      </rPr>
      <t>Failure Reason</t>
    </r>
    <r>
      <rPr>
        <sz val="11"/>
        <color theme="1"/>
        <rFont val="Segoe UI"/>
        <family val="2"/>
        <charset val="204"/>
      </rPr>
      <t>). Это основной идентификатор для анализа.</t>
    </r>
  </si>
  <si>
    <t>Описание колонок для таблицы Error_ALL:</t>
  </si>
  <si>
    <t>Описание колонок для таблицы WinEvents_ALL</t>
  </si>
  <si>
    <t>Учетная запись была успешно выведена из системы</t>
  </si>
  <si>
    <t>Генерируется при успешном завершении сеанса пользователя (логауте).</t>
  </si>
  <si>
    <t>Содержит имя пользователя, ID его сессии, тип выхода из системы и имя рабочей станции.</t>
  </si>
  <si>
    <t>['TargetUserName - имя вышедшего пользователя', 'TargetDomainName - домен', 'TargetLogonId - уникальный ID сессии', 'LogonType - тип завершенного сеанса']</t>
  </si>
  <si>
    <t>Batch</t>
  </si>
  <si>
    <t>Пакетное задание (например, запланированная задача).</t>
  </si>
  <si>
    <t>Планировщик заданий (Task Scheduler).</t>
  </si>
  <si>
    <t>Выполнение скрипта .bat или .cmd по расписанию.</t>
  </si>
  <si>
    <t>NetworkCleartext</t>
  </si>
  <si>
    <t>Сетевой вход с передачей пароля в открытом виде.</t>
  </si>
  <si>
    <t>Основной ввод пароля по сети (не рекомендуется).</t>
  </si>
  <si>
    <t>Вход через net use с явным указанием пароля (устаревший метод).</t>
  </si>
  <si>
    <t>NewCredentials</t>
  </si>
  <si>
    <t>Запуск процесса с другими учетными данными (RunAs).</t>
  </si>
  <si>
    <t>Команда runas /netonly.</t>
  </si>
  <si>
    <t>Запуск PowerShell от имени другого пользователя для сетевого доступа.</t>
  </si>
  <si>
    <t>CachedUnlock</t>
  </si>
  <si>
    <t>Разблокировка с использованием кэшированных учетных данных (домен недоступен).</t>
  </si>
  <si>
    <t>Удаленный интерактивный вход с использованием кэшированных учетных данных.</t>
  </si>
  <si>
    <t>Интерактивный вход с использованием кэшированных учетных данных (домен недоступен).</t>
  </si>
  <si>
    <t>Winlogon.exe (кэшированные данные).</t>
  </si>
  <si>
    <t>RDP с кэшированными данными (домен недоступен).</t>
  </si>
  <si>
    <t>Разблокировка ноутбука в самолете, где нет сети.</t>
  </si>
  <si>
    <t>Подключение через RDP к ПК вне корпоративной сети.</t>
  </si>
  <si>
    <t>Вход в ноутбук вне офиса, когда нет связи с контроллером домена.</t>
  </si>
  <si>
    <t>Логирование блока скрипта PowerShell</t>
  </si>
  <si>
    <t>https://learn.microsoft.com/en-us/powershell/module/microsoft.powershell.core/about/about_logging_windows?view=powershell-7.4#script-block-logging</t>
  </si>
  <si>
    <t>Был выполнен блок кода PowerShell</t>
  </si>
  <si>
    <t>Удаление запланированной задачи</t>
  </si>
  <si>
    <t>Была удалена запланированная задача</t>
  </si>
  <si>
    <t>Содержит информацию о процессе, протоколе, портах, IP адресах, ) регистрируется в журнале безопасности, когда брандмауэр разрешает сетевое подключение (TCP/UDP) для приложения или процесса</t>
  </si>
  <si>
    <t>событие журнала регистрирует детальное выполнение каждой отдельной команды или командлета по мере их обработки ядром PowerShell.</t>
  </si>
  <si>
    <t>Содержит фактический выполняемый код/скрипт PowerShell (если скрипт очень длинный, регистрируется несколько событий 4104), а в 4103 записывается отдельная команда или командлет</t>
  </si>
  <si>
    <t>Это событие генерируется, когда любая запланированная задача успешно удаляется из Планировщика заданий Windows. Хотя удаление задач является легитимной административной операцией, в контексте кибербезопасности оно часто служит красным флагом, указывающим на активность злоумышленника по скрытию своего присутствия, остановке защитных механизмов или "зачистке" после выполнения вредоносной операции.</t>
  </si>
  <si>
    <t>Объект общей сетевой папки был проверен на предмет возможности предоставления клиенту желаемого доступа</t>
  </si>
  <si>
    <t xml:space="preserve">Пользователь вошел в систему, используя учетные данные другого пользователя </t>
  </si>
  <si>
    <t xml:space="preserve">Запуск программы от имени другого пользователя (Run as Administrator / Run as different user).
Использование runas в командной строке.
</t>
  </si>
  <si>
    <t>Контроллер домена не смог проверить Kerberos билет.       Если запрос билета не удается, Windows зарегистрирует либо это событие (сбой 4771), либо 4768, если проблема возникла на этапе "предварительной аутентификации" (pre-authentication). В Kerberos Windows проверка пароля происходит именно во время предварительной аутентификации.</t>
  </si>
  <si>
    <r>
      <t xml:space="preserve">Изменение атрибутов учетной записи в Active Directory        </t>
    </r>
    <r>
      <rPr>
        <i/>
        <sz val="11"/>
        <color theme="1"/>
        <rFont val="Calibri"/>
        <family val="2"/>
        <charset val="204"/>
        <scheme val="minor"/>
      </rPr>
      <t>Пользователь, указанный в поле Subject, изменил учётную запись пользователя, указанную в поле Target Account.</t>
    </r>
  </si>
  <si>
    <t>Создана универсальная группа с поддержкой безопасности</t>
  </si>
  <si>
    <r>
      <t xml:space="preserve">Cоздание универсальной группы безопасности в AD  </t>
    </r>
    <r>
      <rPr>
        <i/>
        <sz val="11"/>
        <color theme="1"/>
        <rFont val="Calibri"/>
        <family val="2"/>
        <charset val="204"/>
        <scheme val="minor"/>
      </rPr>
      <t>Пользователь, указанный в поле Subject, создал универсальную группу безопасности, указанную в поле New Group.</t>
    </r>
  </si>
  <si>
    <r>
      <t xml:space="preserve">Изменение доменной локальной группы в AD </t>
    </r>
    <r>
      <rPr>
        <i/>
        <sz val="11"/>
        <color theme="1"/>
        <rFont val="Calibri"/>
        <family val="2"/>
        <charset val="204"/>
        <scheme val="minor"/>
      </rPr>
      <t>Пользователь, указанный в поле Subject, изменил универсальную группу безопасности, указанную в поле Group.</t>
    </r>
  </si>
  <si>
    <t xml:space="preserve">Изменение DACL файла, ключа реестра, каталога или другого объекта   </t>
  </si>
  <si>
    <t>Изменена политика аудита для каждого пользователя</t>
  </si>
  <si>
    <t>При использовании команды auditpol для настройки выборочного аудита по пользователям Windows регистрирует это событие, документируя:
пользователя, для которого установлена политика аудита,
категорию и подкатегорию аудита,
характер изменений (успех/неудача, включение/исключение).</t>
  </si>
  <si>
    <t>Изменена политика аудита (SACL) объекта</t>
  </si>
  <si>
    <t>Описание составлено не очень хорошо, но это событие регистрируется всякий раз, когда устанавливается дескриптор безопасности, используемый для делегирования доступа к политике аудита. Вы можете делегировать полномочия для управления системной политикой аудита с помощью команды:auditpol /sd:</t>
  </si>
  <si>
    <r>
      <t xml:space="preserve">Содержит информацию о назначенных привилегиях, субъекте и целевом пользователе   </t>
    </r>
    <r>
      <rPr>
        <i/>
        <u/>
        <sz val="11"/>
        <color theme="1"/>
        <rFont val="Calibri"/>
        <family val="2"/>
        <charset val="204"/>
        <scheme val="minor"/>
      </rPr>
      <t>Это событие, а также события 4704 и 4705, не регистрируют изменения прав, связанных с входом в систему, таких как «Доступ к этому компьютеру из сети» или «Вход в качестве службы». Для этого см. события 4717 и 4718.</t>
    </r>
    <r>
      <rPr>
        <sz val="11"/>
        <color theme="1"/>
        <rFont val="Calibri"/>
        <family val="2"/>
        <scheme val="minor"/>
      </rPr>
      <t xml:space="preserve">
</t>
    </r>
  </si>
  <si>
    <r>
      <t xml:space="preserve">Содержит информацию об измененных политиках аудита </t>
    </r>
    <r>
      <rPr>
        <i/>
        <sz val="11"/>
        <color theme="1"/>
        <rFont val="Calibri"/>
        <family val="2"/>
        <charset val="204"/>
        <scheme val="minor"/>
      </rPr>
      <t>Политика аудита на уровне системы этого компьютера была изменена — либо через Локальную политику безопасности, Групповую политику в Active Directory, либо с помощью команды auditpol.</t>
    </r>
  </si>
  <si>
    <r>
      <t xml:space="preserve">Содержит информацию о субъекте запроса и клиентском IP   </t>
    </r>
    <r>
      <rPr>
        <i/>
        <sz val="11"/>
        <color theme="1"/>
        <rFont val="Calibri"/>
        <family val="2"/>
        <charset val="204"/>
        <scheme val="minor"/>
      </rPr>
      <t>Windows регистрирует это событие, когда процесс выполняет перечисление членов указанной локальной группы на этом компьютере.</t>
    </r>
  </si>
  <si>
    <r>
      <t xml:space="preserve">Содержит информацию об операции, объекте, атрибутах и субъекте  </t>
    </r>
    <r>
      <rPr>
        <i/>
        <sz val="11"/>
        <color theme="1"/>
        <rFont val="Calibri"/>
        <family val="2"/>
        <charset val="204"/>
        <scheme val="minor"/>
      </rPr>
      <t>Это событие будет зарегистрировано только в том случае, если в политике аудита объекта включено аудирование для соответствующих свойств или действий, и это касается пользователя, выполнившего действие, или группы, к которой пользователь принадлежит.</t>
    </r>
  </si>
  <si>
    <t>Объект службы каталогов восстановлен</t>
  </si>
  <si>
    <t>Восстановление объекта из Active Directory</t>
  </si>
  <si>
    <t xml:space="preserve">Содержит информацию об удаленном восстановленном объекте и субъекте </t>
  </si>
  <si>
    <t>['Плановое восстановление ошибочно удалённых учётных записей пользователей', 'Восстановление объектов из корзины Active Directory после тестирования', 'Возврат организационных подразделений (OU) после реорганизации структуры каталога', 'Восстановление групп доступа при устранении последствий сбоя миграции', 'Легальное восстановление объектов в рамках процедур аварийного восстановления (DR)']</t>
  </si>
  <si>
    <t>Предпринята попытка зарегистрировать источник события безопасности</t>
  </si>
  <si>
    <t>['Настройка мониторинга приложения через централизованный сбор логов', 'Регистрация источников для кастомных служб или скриптов', 'Тестирование систем аудита и SIEM-интеграций', 'Легальная настройка источников для стороннего ПО безопасности', 'Плановое обновление источников событий при обновлении приложений']</t>
  </si>
  <si>
    <t xml:space="preserve"> </t>
  </si>
  <si>
    <t>Надежный процесс входа в систему зарегистрирован в локальном центре безопасности</t>
  </si>
  <si>
    <t>Предпринята попытка создать контекст клиента приложения.</t>
  </si>
  <si>
    <t>Предпринята попытка дублировать дескриптор объекта</t>
  </si>
  <si>
    <t>Процессу назначен первичный токен</t>
  </si>
  <si>
    <t>Предпринята попытка изменить пароль учетной записи</t>
  </si>
  <si>
    <t>Включено разделение ролей</t>
  </si>
  <si>
    <t>Сведения о утверждениях пользователя/устройства</t>
  </si>
  <si>
    <t>Информация о членстве в группах.</t>
  </si>
  <si>
    <t>Предпринята операция над привилегированным объектом</t>
  </si>
  <si>
    <t>Доступ к системной безопасности предоставлен учетной записи</t>
  </si>
  <si>
    <t>Доступ к системной безопасности отозван у учетной записи</t>
  </si>
  <si>
    <t>Создана учетная запись компьютера</t>
  </si>
  <si>
    <t>Учетная запись компьютера удалена</t>
  </si>
  <si>
    <t>Предпринята попытка установить пароль администратора в режиме восстановления служб каталогов</t>
  </si>
  <si>
    <t>RPC обнаружил нарушение целостности при расшифровке входящего сообщения</t>
  </si>
  <si>
    <t>События аудита были отброшены транспортом.</t>
  </si>
  <si>
    <t>Журнал безопасности переполнен</t>
  </si>
  <si>
    <t>Автоматическое резервное копирование журнала событий</t>
  </si>
  <si>
    <t>Служба журнала событий столкнулась с ошибкой</t>
  </si>
  <si>
    <t>Windows завершает работу</t>
  </si>
  <si>
    <t>Выход пользователем из системы</t>
  </si>
  <si>
    <t>Запланированное задание включено</t>
  </si>
  <si>
    <t>Запланированное задание отключено</t>
  </si>
  <si>
    <t>Создана таблица политики аудита для каждого пользователя</t>
  </si>
  <si>
    <t>Событие 4611 регистрируется при запуске системы и периодически после этого для каждого процесса входа в систему.</t>
  </si>
  <si>
    <t>Программа пытается скопировать свой "пропуск" (дескриптор) к файлу или другому объекту Windows, чтобы передать его другой программе.</t>
  </si>
  <si>
    <t>Процесс запускается под учётной записью другого пользователя (например, служба запускается под системной учётной записью, или задача планировщика выполняется под правами администратора). Windows создаёт новый "токен безопасности" (цифровой пропуск с правами) и назначает его процессу.</t>
  </si>
  <si>
    <t>Пользователь пытается изменить пароль своей собственной учётной записи. Событие регистрируется как успешное или неуспешное в зависимости от результата.</t>
  </si>
  <si>
    <t>На сертификационном центре (CA) включена функция разделения обязанностей между администраторами. Это означает, что разные администраторы будут выполнять разные задачи (например, выпуск сертификатов и управление политиками), чтобы никто не имел полного контроля.</t>
  </si>
  <si>
    <t>При каждом входе пользователя в систему (любого типа) регистрируется это событие, которое показывает, в каких группах состоит пользователь на момент входа.</t>
  </si>
  <si>
    <t>Пользователь использовал одно из своих прав/привилегий Windows для выполнения операции. Например: отладка процесса, завершение работы системы, восстановление файлов.</t>
  </si>
  <si>
    <t>Пользователю или группе назначены права входа в систему, такие как "Доступ к этому компьютеру из сети" или "Вход в качестве службы".</t>
  </si>
  <si>
    <t>Пользователь, группа или компьютер удалены из локальной группы безопасности на компьютере или в домене.</t>
  </si>
  <si>
    <t>Пользователь удален из локальной группы с поддержкой безопасности</t>
  </si>
  <si>
    <t>Пользователь создал новую учётную запись компьютера в домене Active Directory.</t>
  </si>
  <si>
    <t>Попытка установить пароль администратора в режиме восстановления служб каталогов (DSRM)</t>
  </si>
  <si>
    <t>Установлен или изменён пароль для учётной записи администратора в режиме восстановления служб каталогов (DSRM) на контроллере домена.</t>
  </si>
  <si>
    <t>События аудита не были доставлены в журнал событий из-за проблем с "транспортом" — механизмом передачи событий между компонентами Windows.</t>
  </si>
  <si>
    <t>Журнал событий безопасности полностью заполнен, и новые события не будут записываться, пока журнал не будет очищен, расширен или настроен на перезапись старых событий.</t>
  </si>
  <si>
    <t>Журнал безопасности достиг максимального размера, и Windows автоматически создал архивную копию журнала, после чего начал запись в новый пустой журнал.</t>
  </si>
  <si>
    <t>Служба журнала событий Windows (EventLog) столкнулась с внутренней ошибкой, которая мешает нормальной работе журналирования.</t>
  </si>
  <si>
    <t>Система инициирует процесс завершения работы Windows. Это системное событие, которое должно логироваться при штатной перезагрузке или выключении.</t>
  </si>
  <si>
    <t>Пользователь явно завершил свой сеанс — нажал "Выйти из системы", а не просто закрыл соединение.</t>
  </si>
  <si>
    <t>Пользователь активировал запланированное задание в Планировщике задач Windows, чтобы оно могло выполняться по расписанию.</t>
  </si>
  <si>
    <t>Пользователь деактивировал запланированное задание в Планировщике задач Windows, чтобы оно не выполнялось по расписанию.</t>
  </si>
  <si>
    <t>Система создала или обновила персональную таблицу политик аудита для пользователя. Это штатное, рутинное событие, которое происходит при запуске системы.</t>
  </si>
  <si>
    <t>T1078, T1133, T1021</t>
  </si>
  <si>
    <t>T1110, T1078</t>
  </si>
  <si>
    <t>T1059, T1055, T1106</t>
  </si>
  <si>
    <t>T1070.001</t>
  </si>
  <si>
    <t>T1059.001</t>
  </si>
  <si>
    <t>T1021.001</t>
  </si>
  <si>
    <t>T1053.005</t>
  </si>
  <si>
    <t>T1021.002, T1039</t>
  </si>
  <si>
    <t>T1547.001, T1112</t>
  </si>
  <si>
    <t>T1562.004</t>
  </si>
  <si>
    <t>T1550.002</t>
  </si>
  <si>
    <t>T1136, T1078</t>
  </si>
  <si>
    <t>T1543.003</t>
  </si>
  <si>
    <t>T1078, T1134</t>
  </si>
  <si>
    <t>Не применимо</t>
  </si>
  <si>
    <t>T1070.004</t>
  </si>
  <si>
    <t>T1135</t>
  </si>
  <si>
    <t>T1110</t>
  </si>
  <si>
    <t>T1531</t>
  </si>
  <si>
    <t>T1558.004, T1558.001</t>
  </si>
  <si>
    <t>T1558.003</t>
  </si>
  <si>
    <t>T1098</t>
  </si>
  <si>
    <t>T1078</t>
  </si>
  <si>
    <t>T1098, T1078</t>
  </si>
  <si>
    <t>T1078, T1021</t>
  </si>
  <si>
    <t>T1003, T1484</t>
  </si>
  <si>
    <t>T1005</t>
  </si>
  <si>
    <t>T1003.006, T1484</t>
  </si>
  <si>
    <t>T1548</t>
  </si>
  <si>
    <t>T1529</t>
  </si>
  <si>
    <t>T1070.006</t>
  </si>
  <si>
    <t>T1046</t>
  </si>
  <si>
    <t>T1021.001, T1078</t>
  </si>
  <si>
    <t>T1558.001, T1110</t>
  </si>
  <si>
    <t>T1087, T1484, T1558.003</t>
  </si>
  <si>
    <t>T1484, T1222</t>
  </si>
  <si>
    <t>T1562.008</t>
  </si>
  <si>
    <t>T1069.002, T1087</t>
  </si>
  <si>
    <t>T1069, T1087</t>
  </si>
  <si>
    <t>T1136</t>
  </si>
  <si>
    <t>T1135, T1021.002</t>
  </si>
  <si>
    <t>T1134</t>
  </si>
  <si>
    <t>T1078, T1550</t>
  </si>
  <si>
    <t>T1595</t>
  </si>
  <si>
    <t>T1070</t>
  </si>
  <si>
    <t>T1562</t>
  </si>
  <si>
    <t>T1595.002</t>
  </si>
  <si>
    <t>T1562.001</t>
  </si>
  <si>
    <t>T1484</t>
  </si>
  <si>
    <t>T1134.001</t>
  </si>
  <si>
    <t>T1136.001</t>
  </si>
  <si>
    <t>T1562.002</t>
  </si>
  <si>
    <t>T1134.002</t>
  </si>
  <si>
    <t>T1649</t>
  </si>
  <si>
    <t>LSA (Local Security Authority) ведет список доверенных процессов, которым разрешено перехватывать и обрабатывать учетные данные при входе в систему. По умолчанию это winlogon.exe и lsass.exe. Событие 4611 регистрируется при загрузке ОС, а также при каждой регистрации нового trusted process. Злоумышленники могут регистрировать свои процессы (например, keyloggers, credential stealers) как доверенные для перехвата учетных данных или обхода LSA защиты (PPL).</t>
  </si>
  <si>
    <t xml:space="preserve">	['Штатная загрузка операционной системы', 'Установка легитимного стороннего ПО для управления учетными данными (SSO-агенты, провайдеры аутентификации)', 'Обновление безопасности или установка патчей']</t>
  </si>
  <si>
    <t>Событие генерируется при попытке приложения создать контекст аутентификации для COM/DCOM-активации, делегирования или имперсонации. Windows регистрирует это событие, когда процесс запрашивает доступ к интерфейсам аутентификации для выполнения кода в контексте безопасности другого пользователя.</t>
  </si>
  <si>
    <t>['Нормальная работа COM-компонентов Windows (MMC, Explorer, Office)', 'DCOM-удаленное администрирование', 'Работа легитимных приложений, использующих COM-взаимодействие']</t>
  </si>
  <si>
    <t>['Нормальная работа антивирусов и EDR-агентов при сканировании памяти', 'Работа отладчиков (Windbg, Visual Studio) под учетной записью администратора', 'Использование системных утилит (Process Explorer, Handle) для диагностики']</t>
  </si>
  <si>
    <t>['Запуск служб под учетной записью SYSTEM или LocalService', 'Выполнение задач планировщика от имени администратора или SYSTEM', 'Использование RunAs для администрирования', 'Запуск приложений с повышенными привилегиями через UAC (высокий уровень целостности)']</t>
  </si>
  <si>
    <t>['Пользователь меняет пароль по истечении срока действия (политика паролей)', 'Принудительная смена пароля при первом входе в систему', 'Смена пароля по требованию службы безопасности или администратора', 'Пользователь забыл пароль и инициирует смену через механизм самообслуживания']</t>
  </si>
  <si>
    <t>В доменной среде регистрируется на контроллере домена, на локальной системе — в локальном журнале безопасности. Не путать с событием 4724 (сброс пароля администратором для другой учетной записи). Успешная смена пароля регистрируется с статусом Success, неуспешная — с соответствующим кодом ошибки.</t>
  </si>
  <si>
    <t>['Первичная настройка безопасности нового центра сертификации', 'Приведение конфигурации CA в соответствие с требованиями безопасности', 'Внедрение разделения обязанностей в рамках усиления защиты PKI-инфраструктуры']</t>
  </si>
  <si>
    <t xml:space="preserve">	['Штатная аутентификация пользователя в среде с динамическим управлением доступом (Dynamic Access Control)', 'Доступ к ресурсам на основе утверждений (claims-based authentication)', 'Условный доступ Azure AD/AD FS с проверкой соответствия устройства']</t>
  </si>
  <si>
    <t>['Нормальный процесс входа пользователя в систему', 'Администратор проверяет актуальность членства в группах', 'Аудит привилегированного доступа (PAM)', 'Диагностика проблем доступа к ресурсам']</t>
  </si>
  <si>
    <t xml:space="preserve">['Администратор выполняет отладку приложения через WinDbg или Visual Studio', 'Системный администратор выполняет резервное копирование или восстановление данных', 'Администратор изменяет владельца файла или ключа реестра', 'Загрузка легитимного драйвера при установке ПО или обновлении системы', 'Штатная работа антивируса с привилегией SeDebugPrivilege для сканирования процессов']
</t>
  </si>
  <si>
    <t>['Администратор предоставляет пользователю право локального входа на сервер', 'Настройка сервисной учетной записи для запуска службы под пользователем', 'Предоставление права RDP сотруднику для удаленной работы', 'Применение групповой политики с изменением прав входа', 'Настройка прав доступа для приложения или сервера']</t>
  </si>
  <si>
    <t>['Администратор отзывает права уволенного сотрудника', 'Плановая ротация прав доступа в соответствии с политикой безопасности', 'Удаление неиспользуемых сервисных учетных записей', 'Применение групповой политики с обновлением прав входа', 'Исправление избыточных прав, выявленных в ходе аудита']</t>
  </si>
  <si>
    <t xml:space="preserve"> ['Администратор удаляет уволенного сотрудника из группы локальных администраторов', 'Плановая чистка членства в группах в соответствии с политикой управления доступом', 'Перемещение пользователя в другую группу с соответствующим удалением из предыдущей', 'Исправление избыточных прав, выявленных в ходе аудита безопасности', 'Завершение временного проекта и отзыв соответствующих прав доступа']</t>
  </si>
  <si>
    <t>['Администратор удаляет учетную запись компьютера при выводе оборудования из эксплуатации', 'Плановая очистка Active Directory от неактивных или устаревших объектов', 'Переименование компьютера с последующим удалением старой учетной записи', 'Восстановление после ошибки создания дублирующей учетной записи компьютера']</t>
  </si>
  <si>
    <t xml:space="preserve">['Администратор планово обновляет пароль DSRM в рамках политики ротации паролей', 'Настройка нового контроллера домена с установкой пароля DSRM', 'Восстановление Active Directory из резервной копии с использованием DSRM', 'Подготовка к миграции или обновлению контроллера домена']
</t>
  </si>
  <si>
    <t>['Сетевые сбои или повреждение пакетов при передаче данных', 'Проблемы с сетевыми драйверами или оборудованием', 'Несовместимость версий RPC между клиентом и сервером', 'Ошибки при работе легитимных распределенных приложений', 'Фоновое сканирование сети средствами безопасности']</t>
  </si>
  <si>
    <t>['Временная пиковая нагрузка на подсистему событий Windows', 'Проблемы с дисковым вводом-выводом или производительностью системы', 'Фоновое администрирование или обновление компонентов EventLog', 'Штатная работа при большом объеме генерируемых событий']</t>
  </si>
  <si>
    <t>['Длительный период работы системы без архивации журналов', 'Некорректно настроенный максимальный размер журнала безопасности', 'Интенсивная работа приложений, генерирующих большой объем событий', 'Плановое обслуживание с очисткой журналов не было выполнено вовремя']</t>
  </si>
  <si>
    <t>['Достижение журналом безопасности максимального размера с последующей штатной архивацией', 'Настройка политики автоматической архивации при заполнении журнала', 'Плановая ротация журналов событий', 'Административное изменение параметров журнала с включением архивации']</t>
  </si>
  <si>
    <t>['Кратковременные сбои службы EventLog при высокой нагрузке', 'Перезапуск службы после установки обновлений', 'Проблемы с правами доступа к файлам журналов', 'Конфликты с другими приложениями или службами', 'Ошибки при записи на диск при недостатке свободного места']</t>
  </si>
  <si>
    <t>['Плановая перезагрузка сервера после установки обновлений', 'Штатное выключение рабочей станции пользователем в конце рабочего дня', 'Автоматическая перезагрузка по расписанию обслуживания', 'Административное завершение работы для проведения технических работ']</t>
  </si>
  <si>
    <t>['Пользователь завершает рабочий день и выходит из системы', 'Переключение между учетными записями на общей рабочей станции', 'Завершение RDP-сессии через меню "Пуск" → "Выйти"', 'Администратор завершает сессию после выполнения задач обслуживания', 'Выход из системы перед передачей компьютера другому сотруднику']</t>
  </si>
  <si>
    <t>['Администратор активирует ранее созданное задание после завершения настройки', 'Включение задания обслуживания в соответствии с регламентом работ', 'Активация резервного копирования на вновь развернутом сервере', 'Восстановление задания после его временного отключения для диагностики']</t>
  </si>
  <si>
    <t>['Администратор временно отключает задание для проведения диагностики', 'Деактивация устаревших заданий при выводе сервера из эксплуатации', 'Отключение ресурсоемкого задания в рабочее время для снижения нагрузки', 'Плановая деактивация временных задач по завершении проекта', 'Исправление некорректно настроенного задания перед его перенастройкой']</t>
  </si>
  <si>
    <t>['Штатная загрузка операционной системы с инициализацией политик аудита', 'Применение новой или обновленной групповой политики аудита', 'Вход пользователя в систему с индивидуальными настройками аудита', 'Обновление конфигурации аудита через auditpol или командлеты PowerShell', 'Перезапуск службы аудита безопасности']</t>
  </si>
  <si>
    <t>['Администратор вводит новый сервер или рабочую станцию в домен', 'Развертывание виртуальной машины с последующим присоединением к домену', 'Автоматическое создание учетной записи компьютера через механизм подготовки (MDT/SCCM/Azure AD Connect)', 'Обновление или замена устаревшего оборудования с созданием новой учетной записи']</t>
  </si>
  <si>
    <t>ID</t>
  </si>
  <si>
    <t>Поля события</t>
  </si>
  <si>
    <t>MITRE ATT&amp;CK</t>
  </si>
  <si>
    <t>Process creation (создание процесса)</t>
  </si>
  <si>
    <t>Microsoft-Windows-Sysmon/Operational</t>
  </si>
  <si>
    <t>Регистрирует создание новых процессов в системе</t>
  </si>
  <si>
    <t>Image, CommandLine, User, LogonId, Hashes (MD5,SHA1,SHA256,IMPHASH), ParentImage, ParentCommandLine, ParentUser, IntegrityLevel</t>
  </si>
  <si>
    <t>Запуск LOLBins, переименованных утилит, несоответствие OriginalFileName, ParentUser != User (повышение привилегий)</t>
  </si>
  <si>
    <t>T1059, T1204, T1106, T1134</t>
  </si>
  <si>
    <t>Выполнение вредоносного ПО, использование утилит для взлома, манипуляция с токенами</t>
  </si>
  <si>
    <t>https://learn.microsoft.com/en-us/sysmon/event-1</t>
  </si>
  <si>
    <t>Файловая система</t>
  </si>
  <si>
    <t>File creation time changed</t>
  </si>
  <si>
    <t>Регистрирует изменение времени создания/модификации файла</t>
  </si>
  <si>
    <t>TargetFilename, PreviousCreationUtcTime, CurrentCreationUtcTime, ProcessId, Image</t>
  </si>
  <si>
    <t>Анти-форензика, попытки скрыть создание вредоносных файлов</t>
  </si>
  <si>
    <t>Сокрытие следов вредоносной активности, маскировка под системные файлы</t>
  </si>
  <si>
    <t>https://learn.microsoft.com/en-us/sysmon/event-2</t>
  </si>
  <si>
    <t>Network connection detected</t>
  </si>
  <si>
    <t>Регистрирует установленные сетевые соединения (TCP/UDP)</t>
  </si>
  <si>
    <t>Protocol, SourceIp, DestinationIp, DestinationPort, Image, User, SourcePort, DestinationHostname (из DNS кеша)</t>
  </si>
  <si>
    <t>C2-коммуникации, необычные порты, соединения с подозрительными IP, нестандартные протоколы</t>
  </si>
  <si>
    <t>Связь с C2 серверами, Lateral Movement через SMB/RDP, эксфильтрация данных</t>
  </si>
  <si>
    <t>https://learn.microsoft.com/en-us/sysmon/event-3</t>
  </si>
  <si>
    <t>Модули</t>
  </si>
  <si>
    <t>Image loaded (загрузка DLL)</t>
  </si>
  <si>
    <t>ProcessId, Image, Module, BaseAddress, SignatureStatus, Signature, Signed</t>
  </si>
  <si>
    <t>Необычные пути к DLL, подозрительные имена модулей, загрузка в lsass/winlogon, неподписанные DLL</t>
  </si>
  <si>
    <t>T1055.001, T1574.001, T1574.002, T1546</t>
  </si>
  <si>
    <t>DLL Injection, DLL Hijacking, загрузка вредоносных библиотек</t>
  </si>
  <si>
    <t>https://learn.microsoft.com/en-us/sysmon/event-7</t>
  </si>
  <si>
    <t>Потоки</t>
  </si>
  <si>
    <t>CreateRemoteThread detected</t>
  </si>
  <si>
    <t>Регистрирует создание потока в удаленном процессе</t>
  </si>
  <si>
    <t>SourceProcessId, SourceImage, TargetProcessId, TargetImage, StartAddress, StartModule</t>
  </si>
  <si>
    <t>Инъекции в lsass.exe, svchost.exe, explorer.exe, необычные стартовые адреса</t>
  </si>
  <si>
    <t>T1055</t>
  </si>
  <si>
    <t>Инъекция кода в другие процессы, миграция в память</t>
  </si>
  <si>
    <t>https://learn.microsoft.com/en-us/sysmon/event-8</t>
  </si>
  <si>
    <t>Process accessed</t>
  </si>
  <si>
    <t>Регистрирует открытие дескриптора процесса с определенными правами доступа</t>
  </si>
  <si>
    <t>SourceProcessId, SourceImage, TargetProcessId, TargetImage, GrantedAccess, CallTrace</t>
  </si>
  <si>
    <t>PROCESS_ALL_ACCESS к lsass.exe, необычные CallTrace, доступ к критическим процессам</t>
  </si>
  <si>
    <t>T1003.001, T1055</t>
  </si>
  <si>
    <t>Кража учетных данных (Mimikatz), инъекции в процессы</t>
  </si>
  <si>
    <t>https://learn.microsoft.com/en-us/sysmon/event-10</t>
  </si>
  <si>
    <t>File created</t>
  </si>
  <si>
    <t>Регистрирует создание или перезапись файлов</t>
  </si>
  <si>
    <t>TargetFilename, CreationUtcTime, ProcessId, Image, User</t>
  </si>
  <si>
    <t>Создание исполняемых файлов в подозрительных папках (%TEMP%, %APPDATA%), маскировка (двойные расширения)</t>
  </si>
  <si>
    <t>T1105, T1486, T1565</t>
  </si>
  <si>
    <t>Создание ransomware, дропперов, изменение системных файлов</t>
  </si>
  <si>
    <t>https://learn.microsoft.com/en-us/sysmon/event-11</t>
  </si>
  <si>
    <t>Реестр</t>
  </si>
  <si>
    <t>Registry object added or deleted</t>
  </si>
  <si>
    <t>Регистрирует создание/удаление ключей реестра</t>
  </si>
  <si>
    <t>TargetObject, EventType, ProcessId, Image, User</t>
  </si>
  <si>
    <t>Автозагрузка (Run/RunOnce), отключение безопасности (DisableAntiSpyware), ключи AppInit_DLLs</t>
  </si>
  <si>
    <t>T1112, T1547.001</t>
  </si>
  <si>
    <t>Установка персистентности, изменение настроек защиты</t>
  </si>
  <si>
    <t>https://learn.microsoft.com/en-us/sysmon/event-12</t>
  </si>
  <si>
    <t>Registry value set</t>
  </si>
  <si>
    <t>Регистрирует изменение значений в реестре</t>
  </si>
  <si>
    <t>TargetObject, Details, EventType, ProcessId, Image, User</t>
  </si>
  <si>
    <t>Отключение UAC (EnableLUA=0), изменение политик безопасности, добавление в исключения Defender</t>
  </si>
  <si>
    <t>T1112, T1548.002</t>
  </si>
  <si>
    <t>Обход UAC, отключение защитных механизмов</t>
  </si>
  <si>
    <t>https://learn.microsoft.com/en-us/sysmon/event-13</t>
  </si>
  <si>
    <t>Registry object renamed</t>
  </si>
  <si>
    <t>Регистрирует переименование ключей реестра</t>
  </si>
  <si>
    <t>TargetObject, NewName, ProcessId, Image</t>
  </si>
  <si>
    <t>Попытки скрыть активность, обход сигнатур</t>
  </si>
  <si>
    <t>T1112</t>
  </si>
  <si>
    <t>Сокрытие следов вредоносной активности</t>
  </si>
  <si>
    <t>https://learn.microsoft.com/en-us/sysmon/event-14</t>
  </si>
  <si>
    <t>IPC</t>
  </si>
  <si>
    <t>Pipe created</t>
  </si>
  <si>
    <t>Регистрирует создание именованного канала</t>
  </si>
  <si>
    <t>PipeName, ProcessId, Image</t>
  </si>
  <si>
    <t>Подозрительные имена каналов (lsadump, wceservice), создание каналов необычными процессами</t>
  </si>
  <si>
    <t>T1559, T1570</t>
  </si>
  <si>
    <t>C2-коммуникации через каналы, межпроцессное взаимодействие</t>
  </si>
  <si>
    <t>https://learn.microsoft.com/en-us/sysmon/event-17</t>
  </si>
  <si>
    <t>Pipe connected</t>
  </si>
  <si>
    <t>Регистрирует подключение к именованному каналу</t>
  </si>
  <si>
    <t>Подключения к подозрительным каналам, необычные пары процессов</t>
  </si>
  <si>
    <t>Коммуникация с вредоносным ПО, эксплуатация через каналы</t>
  </si>
  <si>
    <t>https://learn.microsoft.com/en-us/sysmon/event-18</t>
  </si>
  <si>
    <t>DNS query</t>
  </si>
  <si>
    <t>Регистрирует DNS-запросы от процессов</t>
  </si>
  <si>
    <t>QueryName, QueryStatus, QueryResults, ProcessId, Image, User</t>
  </si>
  <si>
    <t>DGA домены, длинные поддомены (туннелирование), запросы к необычным TLD</t>
  </si>
  <si>
    <t>T1071.004, T1568, T1572</t>
  </si>
  <si>
    <t>C2-коммуникации, DNS-туннелирование</t>
  </si>
  <si>
    <t>https://learn.microsoft.com/en-us/sysmon/event-22</t>
  </si>
  <si>
    <t>Process tampering</t>
  </si>
  <si>
    <t>Регистрирует изменение образа процесса (Process Hollowing, Herpaderping)</t>
  </si>
  <si>
    <t>ProcessId, Image, Type (Hollowing, Herpaderping)</t>
  </si>
  <si>
    <t>Несоответствие образа процесса оригинальному, замена кода в легитимном процессе</t>
  </si>
  <si>
    <t>T1055.012</t>
  </si>
  <si>
    <t>Маскировка вредоносного ПО под легитимные процессы</t>
  </si>
  <si>
    <t>https://learn.microsoft.com/en-us/sysmon/event-25</t>
  </si>
  <si>
    <t>Защита</t>
  </si>
  <si>
    <t>Обнаружение и блокировка создания исполняемых файлов (активная защита)</t>
  </si>
  <si>
    <t>TargetFilename, Image, User, RuleName</t>
  </si>
  <si>
    <t>Активная защита от записи вредоносных файлов, удаление PE/ELF файлов</t>
  </si>
  <si>
    <t>T1204, T1105</t>
  </si>
  <si>
    <t>Блокировка создания вредоносных исполняемых файлов</t>
  </si>
  <si>
    <t>https://learn.microsoft.com/en-us/sysmon/event-27</t>
  </si>
  <si>
    <t>TargetFilename, Image, User</t>
  </si>
  <si>
    <t>Уничтожение следов вредоносной активности</t>
  </si>
  <si>
    <t>https://learn.microsoft.com/en-us/sysmon/event-28</t>
  </si>
  <si>
    <t>Регистрирует создание исполняемых файлов (более точный аналог EID 11 для PE)</t>
  </si>
  <si>
    <t>TargetFilename, Image, User, Hashes</t>
  </si>
  <si>
    <t>Создание PE/ELF/Mach-O файлов в необычных местах, маскировка (двойные расширения)</t>
  </si>
  <si>
    <t>Выявление создания вредоносных исполняемых файлов</t>
  </si>
  <si>
    <t>https://learn.microsoft.com/en-us/sysmon/event-29</t>
  </si>
  <si>
    <t>Система</t>
  </si>
  <si>
    <t>Sysmon error</t>
  </si>
  <si>
    <t>Регистрирует ошибки в работе Sysmon</t>
  </si>
  <si>
    <t>ID, Description</t>
  </si>
  <si>
    <t>Попытки остановки/выгрузки Sysmon, ошибки конфигурации, проблемы с драйвером</t>
  </si>
  <si>
    <t>Обход Sysmon, проблемы с драйвером, некорректная конфигурация</t>
  </si>
  <si>
    <t>https://learn.microsoft.com/en-us/sysmon/event-255</t>
  </si>
  <si>
    <t>Версия</t>
  </si>
  <si>
    <t>4.0+</t>
  </si>
  <si>
    <t>Sysmon service state changed</t>
  </si>
  <si>
    <t>Регистрирует изменение состояния службы Sysmon (запуск/остановка)</t>
  </si>
  <si>
    <t>State, Version, SchemaVersion</t>
  </si>
  <si>
    <t>Попытки остановки Sysmon, неожиданные перезапуски</t>
  </si>
  <si>
    <t>Обнаружение попыток отключения мониторинга</t>
  </si>
  <si>
    <t>https://learn.microsoft.com/en-us/sysmon/event-4</t>
  </si>
  <si>
    <t>Process terminated</t>
  </si>
  <si>
    <t>Регистрирует завершение процесса</t>
  </si>
  <si>
    <t>ProcessId, Image, User, ExitStatus</t>
  </si>
  <si>
    <t>Завершение критических процессов, необычное время работы</t>
  </si>
  <si>
    <t>T1489</t>
  </si>
  <si>
    <t>Обнаружение завершения защитного ПО</t>
  </si>
  <si>
    <t>https://learn.microsoft.com/en-us/sysmon/event-5</t>
  </si>
  <si>
    <t>Драйверы</t>
  </si>
  <si>
    <t>Driver loaded</t>
  </si>
  <si>
    <t>Регистрирует загрузку драйвера в ядро</t>
  </si>
  <si>
    <t>Image, ImageLoaded, Hashes, Signature, Signed</t>
  </si>
  <si>
    <t>Неподписанные драйверы, подозрительные пути, загрузка в ядро</t>
  </si>
  <si>
    <t>Загрузка руткитов, вредоносных драйверов</t>
  </si>
  <si>
    <t>https://learn.microsoft.com/en-us/sysmon/event-6</t>
  </si>
  <si>
    <t>Регистрирует загрузку DLL в процессы</t>
  </si>
  <si>
    <t>Доступ к диску</t>
  </si>
  <si>
    <t>RawAccessRead</t>
  </si>
  <si>
    <t>Регистрирует чтение диска в обход файловой системы</t>
  </si>
  <si>
    <t>ProcessId, Image, Device, User</t>
  </si>
  <si>
    <t>Чтение заблокированных файлов, копирование теневых копий</t>
  </si>
  <si>
    <t>T1005, T1039</t>
  </si>
  <si>
    <t>Кража данных, доступ к файлам в обход блокировок</t>
  </si>
  <si>
    <t>https://learn.microsoft.com/en-us/sysmon/event-9</t>
  </si>
  <si>
    <t>FileCreateStreamHash</t>
  </si>
  <si>
    <t>Регистрирует создание альтернативного потока данных (ADS)</t>
  </si>
  <si>
    <t>TargetFilename, StreamHash, ProcessId, Image</t>
  </si>
  <si>
    <t>Создание скрытых потоков в NTFS, хранение вредоносного кода в ADS</t>
  </si>
  <si>
    <t>T1564.004</t>
  </si>
  <si>
    <t>Сокрытие вредоносного кода в альтернативных потоках</t>
  </si>
  <si>
    <t>https://learn.microsoft.com/en-us/sysmon/event-15</t>
  </si>
  <si>
    <t>Sysmon config state changed</t>
  </si>
  <si>
    <t>Регистрирует изменение конфигурации Sysmon</t>
  </si>
  <si>
    <t>Configuration, ConfigurationFileHash</t>
  </si>
  <si>
    <t>Несанкционированное изменение конфигурации, обход правил</t>
  </si>
  <si>
    <t>Попытки обхода через замену конфигурации</t>
  </si>
  <si>
    <t>https://learn.microsoft.com/en-us/sysmon/event-16</t>
  </si>
  <si>
    <t>WMI</t>
  </si>
  <si>
    <t>WmiEventFilter activity detected</t>
  </si>
  <si>
    <t>Регистрирует создание фильтра событий WMI</t>
  </si>
  <si>
    <t>EventNamespace, Name, Query, ProcessId, Image</t>
  </si>
  <si>
    <t>Создание WMI-фильтров для персистентности, бесфайловые атаки</t>
  </si>
  <si>
    <t>T1546.003</t>
  </si>
  <si>
    <t>Установка персистентности через WMI, сбор информации</t>
  </si>
  <si>
    <t>https://learn.microsoft.com/en-us/sysmon/event-19</t>
  </si>
  <si>
    <t>WmiEventConsumer activity detected</t>
  </si>
  <si>
    <t>Регистрирует создание потребителя событий WMI</t>
  </si>
  <si>
    <t>Name, Type, Destination, ProcessId, Image</t>
  </si>
  <si>
    <t>Создание WMI-потребителей для выполнения команд</t>
  </si>
  <si>
    <t>Выполнение кода через WMI, бесфайловые атаки</t>
  </si>
  <si>
    <t>https://learn.microsoft.com/en-us/sysmon/event-20</t>
  </si>
  <si>
    <t>WmiEventConsumerToFilter activity detected</t>
  </si>
  <si>
    <t>Регистрирует привязку фильтра к потребителю WMI</t>
  </si>
  <si>
    <t>Consumer, Filter, ProcessId, Image</t>
  </si>
  <si>
    <t>Связывание WMI-фильтра и потребителя для автоматического выполнения</t>
  </si>
  <si>
    <t>Автоматическое выполнение кода при наступлении событий</t>
  </si>
  <si>
    <t>https://learn.microsoft.com/en-us/sysmon/event-21</t>
  </si>
  <si>
    <t>FileDelete</t>
  </si>
  <si>
    <t>Регистрирует удаление файлов (с архивацией)</t>
  </si>
  <si>
    <t>TargetFilename, ProcessId, Image, User, Hashes</t>
  </si>
  <si>
    <t>Удаление улик, очистка следов</t>
  </si>
  <si>
    <t>Обнаружение попыток скрыть активность</t>
  </si>
  <si>
    <t>https://learn.microsoft.com/en-us/sysmon/event-23</t>
  </si>
  <si>
    <t>ClipboardChange</t>
  </si>
  <si>
    <t>Регистрирует изменение содержимого буфера обмена</t>
  </si>
  <si>
    <t>ProcessId, Image, ClipboardData</t>
  </si>
  <si>
    <t>Кража данных из буфера обмена, мониторинг копирования чувствительной информации</t>
  </si>
  <si>
    <t>T1115</t>
  </si>
  <si>
    <t>Кража паролей, криптовалютных адресов</t>
  </si>
  <si>
    <t>https://learn.microsoft.com/en-us/sysmon/event-24</t>
  </si>
  <si>
    <t>File Delete Logged</t>
  </si>
  <si>
    <t>Регистрирует удаление файлов (только лог, без архивации)</t>
  </si>
  <si>
    <t>TargetFilename, ProcessId, Image, User</t>
  </si>
  <si>
    <t>Удаление вредоносных файлов, очистка следов</t>
  </si>
  <si>
    <t>Обнаружение попыток удаления улик</t>
  </si>
  <si>
    <t>https://learn.microsoft.com/en-us/sysmon/event-26</t>
  </si>
  <si>
    <t>File Block Executable</t>
  </si>
  <si>
    <t>File Block Shredding</t>
  </si>
  <si>
    <t>Обнаружение и блокировка попыток безопасного удаления файлов (шреддинг)</t>
  </si>
  <si>
    <t>Попытки уничтожения улик через безопасное удаление (sdelete и аналоги)</t>
  </si>
  <si>
    <t>File Executable Detected</t>
  </si>
  <si>
    <t>Установка службы (System)</t>
  </si>
  <si>
    <t>System</t>
  </si>
  <si>
    <t>https://learn.microsoft.com/en-us/windows/security/threat-protection/auditing/event-7045</t>
  </si>
  <si>
    <t>Событие фиксирует утверждения (claims) пользователя и устройства, извлечённые из токена безопасности при входе или доступе к ресурсам. Используется в средах с Dynamic Access Control (DAC) и claims-based authentication.</t>
  </si>
  <si>
    <t>RPC обнаружил нарушение целостности при расшифровке входящего сообщения от клиента. Чаще всего связано с повреждёнными пакетами или несовпадением параметров RPC; в редких случаях может указывать на попытку подмены трафика.</t>
  </si>
  <si>
    <t>Изменено значение параметра CrashOnAuditFail. Этот параметр управляет поведением системы при невозможности записывать события аудита (включая возможность принудительной перезагрузки).</t>
  </si>
  <si>
    <t>Учётная запись компьютера была удалена из Active Directory. Событие фиксирует удаление объекта computer и связанной с ним учётной записи.</t>
  </si>
  <si>
    <t>['Target Account Name — имя удалённой учётной записи компьютера', 'Target Account SID — SID удалённого объекта', 'Subject User Name — кто выполнил удаление', 'Subject Domain']</t>
  </si>
  <si>
    <t>SeMachineAccountPrivilege, SeSecurityPrivilege</t>
  </si>
  <si>
    <t>Создана универсальная группа безопасности</t>
  </si>
  <si>
    <t>T1136, T1098</t>
  </si>
  <si>
    <t>Изменена универсальная группа с поддержкой безопасности</t>
  </si>
  <si>
    <t>Изменение универсальной группы безопасности в Active Directory. Пользователь, указанный в поле Subject, изменил атрибуты универсальной группы с поддержкой безопасности, указанную в поле Group.</t>
  </si>
  <si>
    <t>У пользователя или группы отозваны права входа в систему, такие как "Доступ к этому компьютеру из сети" или "Вход в качестве службы".</t>
  </si>
  <si>
    <t>T1531, T1098</t>
  </si>
  <si>
    <t>T1003.002, T1078, T1562.001</t>
  </si>
  <si>
    <t>T1071</t>
  </si>
  <si>
    <t>Система → Расширение безопасности системы</t>
  </si>
  <si>
    <t>Доступ к объектам → События приложений</t>
  </si>
  <si>
    <t>Доступ к объектам → Операции с дескрипторами</t>
  </si>
  <si>
    <t>Отслеживание процессов → Создание процесса</t>
  </si>
  <si>
    <t>Управление учётными записями → Учётные записи пользователей</t>
  </si>
  <si>
    <t>Доступ к объектам → Службы сертификации</t>
  </si>
  <si>
    <t>Вход/выход → Вход</t>
  </si>
  <si>
    <t>Вход/выход → Членство в группах</t>
  </si>
  <si>
    <t>Использование привилегий → Чувствительные привилегии</t>
  </si>
  <si>
    <t>Изменение политики → Политика аутентификации</t>
  </si>
  <si>
    <t>Управление учётными записями → Группы безопасности</t>
  </si>
  <si>
    <t>Управление учётными записями → Учётные записи компьютеров</t>
  </si>
  <si>
    <t>Отслеживание процессов → RPC</t>
  </si>
  <si>
    <t>Журнал событий → Обработка событий</t>
  </si>
  <si>
    <t>Журнал событий → Автоматическое резервное копирование</t>
  </si>
  <si>
    <t>Система → Изменение состояния безопасности</t>
  </si>
  <si>
    <t>Вход/выход → Выход</t>
  </si>
  <si>
    <t>Доступ к объектам → Прочий доступ к объектам</t>
  </si>
  <si>
    <t>Изменение политики → Политика аудита</t>
  </si>
  <si>
    <t>Содержит информацию о назначенных/отозванных привилегиях, субъекте изменения и целевой учётной записи. Событие 4715 регистрируется при изменении политики аудита на объекте (SACL).</t>
  </si>
  <si>
    <t>Событие 4665 регистрируется при попытке создать контекст клиента приложения. Содержит информацию о субъекте, приложении и параметрах контекста. Используется в Authorization Manager для проверки прав доступа.</t>
  </si>
  <si>
    <t>Событие 4690 регистрируется при дублировании хендла объекта между процессами. Содержит информацию о исходном и целевом процессе, исходном и новом хендле. Может указывать на попытки манипуляции токенами доступа.</t>
  </si>
  <si>
    <t>Событие 4696 регистрируется, когда процессу назначается первичный токен (Primary Token), отличный от токена родительского процесса. Содержит информацию о субъекте, целевом процессе и новом токене. Ключевое событие для выявления Access Token Manipulation (T1134).</t>
  </si>
  <si>
    <t>Событие 4897 регистрируется на сервере служб сертификации (AD CS) при перезагрузке ролевых файлов или изменении конфигурации. Содержит информацию об учётной записи службы CA, изменённых файлах и причине перезагрузки.</t>
  </si>
  <si>
    <t>Событие 4626 регистрирует информацию о User Claims и Device Claims в токене входа. Используется в Dynamic Access Control (DAC) для выдачи доступа на основе атрибутов пользователя и устройства. Содержит список клеймов, их значения и учётную запись.</t>
  </si>
  <si>
    <t>Событие 4627 регистрирует информацию о членстве в группах во время входа пользователя. Содержит полный список SID-в групп, в которые входит пользователь. Используется в корреляции с 4624 для анализа реальных прав доступа в сессии.</t>
  </si>
  <si>
    <t>Событие 4674 регистрирует использование чувствительных привилегий (SeDebug, SeBackup, SeRestore, SeTcb, SeLoadDriver и др.) при операциях над объектами. Содержит информацию о субъекте, объекте, использованной привилегии и процессе.</t>
  </si>
  <si>
    <t>Событие 4717 регистрируется при предоставлении прав входа в систему учётной записи (SeServiceLogonRight, SeNetworkLogonRight, SeRemoteInteractiveLogonRight и др.). Содержит информацию о субъекте изменения, целевой учётной записи и названии предоставленного права.</t>
  </si>
  <si>
    <t>Событие 4718 регистрируется при отзыве прав входа в систему у учётной записи. Содержит информацию о субъекте изменения, целевой учётной записи и названии отозванного права.</t>
  </si>
  <si>
    <t>Событие 4733 регистрируется при удалении члена из локальной группы безопасности. Содержит информацию о группе, удалённом члене (пользователь, группа или компьютер) и субъекте изменения.</t>
  </si>
  <si>
    <t>Событие 4741 регистрируется при создании новой учётной записи компьютера в Active Directory. Содержит имя компьютера, SID, DN-имя, атрибуты и субъекта создания. Известная техника атаки — злоупотребление атрибутом MachineAccountQuota (по умолчанию любой пользователь может создать до 10 компьютеров).</t>
  </si>
  <si>
    <t>Событие 4743 регистрируется при удалении учётной записи компьютера из Active Directory. Содержит имя и SID удалённого компьютера, субъекта удаления, время события. Не путать с 4742 (изменение атрибутов компьютера).</t>
  </si>
  <si>
    <t>Событие 4816 регистрируется, когда RPC-служба обнаруживает нарушение целостности при расшифровке входящего сообщения. Чаще всего вызвано сетевыми ошибками, повреждёнными пакетами или несовместимостью версий RPC. Содержит информацию об исходном адресе, протоколе и коде ошибки.</t>
  </si>
  <si>
    <t>Событие 1101 регистрируется, когда транспортный механизм EventLog не смог доставить события в журнал. Указывает на потерю аудит данных. Содержит информацию о количестве потерянных событий и причине.</t>
  </si>
  <si>
    <t>Событие 1104 регистрируется, когда журнал безопасности достиг максимального размера и новые события не могут быть записаны. Содержит информацию о журнале и его параметрах. Может использоваться злоумышленниками для сокрытия следов через флуд журнала.</t>
  </si>
  <si>
    <t>Событие 1105 регистрируется при автоматическом резервном копировании журнала при достижении максимального размера. Содержит путь к архивному файлу и информацию о журнале.</t>
  </si>
  <si>
    <t>Событие 1108 регистрируется, когда служба EventLog столкнулась с внутренней ошибкой, мешающей работе журналирования. Содержит код ошибки и описание проблемы. Частые события могут указывать на атаку на подсистему журналирования.</t>
  </si>
  <si>
    <t>Событие 4609 регистрируется при инициализации процесса завершения работы Windows. Содержит информацию о причине выключения и субъекте, инициировавшем выключение.</t>
  </si>
  <si>
    <t>Событие 4647 регистрируется, когда пользователь явно выходит из системы (в отличие от 4634, которое регистрирует любой выход, включая обрыв сессии). Содержит информацию об учётной записи и ID сессии.</t>
  </si>
  <si>
    <t>Событие 4700 регистрируется при включении ранее отключённого запланированного задания в Планировщике задач. Содержит имя задания, путь, субъекта изменения и время включения.</t>
  </si>
  <si>
    <t>Событие 4701 регистрируется при отключении запланированного задания в Планировщике. Содержит имя задания, путь, субъекта изменения и время отключения. Часто используется злоумышленниками для отключения задач безопасности (бэкапы, AV, EDR).</t>
  </si>
  <si>
    <t>Событие 4902 регистрируется при создании или обновлении персональной таблицы политик аудита для пользователя. Штатное событие, происходящее при запуске системы. Содержит SID пользователя и параметры политики.</t>
  </si>
  <si>
    <t>SeSecurityPrivilege — требуется для очистки журнала безопасности</t>
  </si>
  <si>
    <t>SeUserAccountControlPrivilege, SeAddUsersPrivilege — создание учётных записей</t>
  </si>
  <si>
    <t>Не требуется (автоматическая блокировка системой)</t>
  </si>
  <si>
    <t>SeUserAccountControlPrivilege, SeDeleteUsersPrivilege — удаление учётных записей</t>
  </si>
  <si>
    <t>SeUserAccountControlPrivilege — отключение учётных записей</t>
  </si>
  <si>
    <t>SeUserAccountControlPrivilege, "Сброс паролях" (Reset Password ACE в AD)</t>
  </si>
  <si>
    <t>SeUserAccountControlPrivilege — включение учётных записей</t>
  </si>
  <si>
    <t>SeSecurityPrivilege, права на изменение глобальных групп</t>
  </si>
  <si>
    <t>SeSecurityPrivilege — управление локальными группами безопасности</t>
  </si>
  <si>
    <t>Зависит от объекта: SeBackupPrivilege, SeRestorePrivilege, SeTakeOwnershipPrivilege</t>
  </si>
  <si>
    <t>Зависит от объекта и запрашиваемых прав доступа</t>
  </si>
  <si>
    <t>Зависит от привилегии, использованной в операции</t>
  </si>
  <si>
    <t>SeSystemtimePrivilege — изменение системного времени</t>
  </si>
  <si>
    <t>Права администратора для изменения правил брандмауэра</t>
  </si>
  <si>
    <t>SeDebugPrivilege, SeBackupPrivilege, SeRestorePrivilege, SeTcbPrivilege, SeLoadDriverPrivilege, SeTakeOwnershipPrivilege — одна или несколько из чувствительных привилегий</t>
  </si>
  <si>
    <t>SeSecurityPrivilege — назначение прав входа</t>
  </si>
  <si>
    <t>SeSecurityPrivilege — отзыв прав входа</t>
  </si>
  <si>
    <t>SeSecurityPrivilege — управление локальными группами</t>
  </si>
  <si>
    <t>SeMachineAccountPrivilege — создание учётных записей компьютеров</t>
  </si>
  <si>
    <t>SeRestorePrivilege — смена пароля DSRM (выполняется через ntdsutil)</t>
  </si>
  <si>
    <t>SeSecurityPrivilege или владелец задачи</t>
  </si>
  <si>
    <t>SeAuditPrivilege</t>
  </si>
  <si>
    <t>• Необычное время входа (ночью, выходные)
• Вход из неожиданных географических локаций
• Множественные успешные входы за короткий период
• Logon Type 10 (RDP) для обычных пользователей
• Вход отключенных или удаленных учетных записей</t>
  </si>
  <si>
    <t>• Brute-force атаки (множественные 4625 для одной учетной записи)
• Password spraying (немного попыток для многих учетных записей)
• Неудачные попытки для привилегированных аккаунтов (Administrator)
• Атаки на сервисные аккаунты
• Неудачные RDP попытки из внешних сетей</t>
  </si>
  <si>
    <t>• Родительский процесс не соответствует ожидаемому (например, explorer -&gt; cmd)
• Подозрительная командная строка (-enc, javascript:, powershell с obfuscation)
• Процессы из временных папок (Temp, AppData)
• Запуск утилит LOLBins в нетипичных контекстах
• Process hollowing (несоответствие родительского и дочернего процессов)</t>
  </si>
  <si>
    <t>• Очистка журналов для скрытия следов атаки
• Очистка в нерабочее время
• Частая очистка журналов
• Очистка после подозрительной активности</t>
  </si>
  <si>
    <t>• Obfuscated код (base64, char массивы)
• Использование -EncodedCommand
• Вызов опасных скриптов (Mimikatz, PowerSploit)
• Загрузка payload из интернета (DownloadString)
• AMSI bypass техники</t>
  </si>
  <si>
    <t>• Несанкционированный доступ
• Lateral movement
• Атаки с использованием скомпрометированных учетных данных
• Входы из неожиданных географических локаций</t>
  </si>
  <si>
    <t>• Задачи с именами, похожими на системные (Update, Maintenance)
• Задачи, запускающие PowerShell с obfuscation
• Задачи из временных папок
• Задачи с триггерами при входе или простоя
• Создание задач в нерабочее время</t>
  </si>
  <si>
    <t>• Горизонтальное перемещение через общие ресурсы
• Доступ к чувствительным файлам
• Доступ из неожиданных IP адресов
• Массовый доступ к ресурсам</t>
  </si>
  <si>
    <t>• Изменение автозапуска (Run, RunOnce)
• Модификация политик безопасности
• Изменение настроек антивируса/брандмауэра
• Изменение реестра в нерабочее время
• Изменение системных ключей нетипичными процессами</t>
  </si>
  <si>
    <t>• Добавление правил, разрешающих входящие соединения
• Правила для нестандартных портов
• Правила для временных исполняемых файлов
• Добавление правил в нерабочее время
• Правила, разрешающие весь трафик</t>
  </si>
  <si>
    <t>• Pass-the-Hash атаки
• Кража хешей паролей с локальной системы
• Использование утилит типа mimikatz
• Доступ к SAM или LSASS</t>
  </si>
  <si>
    <t>• Pass-the-Hash атаки
• NTLM relay атаки
• Использование NTLM вместо Kerberos
• Аутентификация из неподписанных систем</t>
  </si>
  <si>
    <t>• Создание backdoor учетных записей
• Создание учетных записей в нерабочее время
• Создание учетных записей, похожих на системные (Admin$, Backup$)
• Создание учетных записей с привилегиями</t>
  </si>
  <si>
    <t>• Установка служб из временных папок
• Службы с именами, похожими на системные
• Службы, запускающие PowerShell или cmd
• Службы с автоматическим запуском от SYSTEM
• Установка в нерабочее время</t>
  </si>
  <si>
    <t>• Назначение SeDebugPrivilege обычным пользователям
• Назначение SeTcbPrivilege
• Присвоение привилегий в нерабочее время
• Назначение multiple привилегий одновременно</t>
  </si>
  <si>
    <t>• Исходящие подключения на известные C2 порты
• Подключения к подозрительным IP адресам
• Сетевые активности нетипичных процессов
• Высокая частота сетевых подключений
• Подключения в нерабочее время</t>
  </si>
  <si>
    <t>• Скрипты с obfuscation
• Использование -EncodedCommand
• Запуск из временных папок
• Скрипты, загружающие payload
• Использование AMSI bypass техник</t>
  </si>
  <si>
    <t>• Кратковременные сеансы высокопривилегированных учетных записей (возможное несанкционированное использование)
• Серия быстрых входов/выходов с одного аккаунта
• Выход из системы, не соответствующий рабочему графику</t>
  </si>
  <si>
    <t>• Удаление запланированных задач, связанных с системами безопасности (антивирус, EDR, брандмауэр, обновления)
• Последовательное удаление нескольких системных или служебных задач за короткий промежуток времени
• Удаление задачи, созданной незадолго до этого (корреляция с событием 4698)
• Удаление задачи учетной записью, не имеющей типичных прав на управление планировщиком
• Удаление задачи, выполненное с рабочей станции сервера или из неожиданной сетевой зоны
• Удаление задач, имена или пути которых содержат подозрительные строки (например, случайные буквенно-цифровые наборы, известные вредоносные имена)</t>
  </si>
  <si>
    <t>• Разведка общих ресурсов (net view, Get-SmbShare)
• Сканирование сети на доступные share
• Проверки из неожиданных IP
• Массовые проверки ресурсов</t>
  </si>
  <si>
    <t>• Brute-force атаки (предшествуют множественные 4625)
• Targeted атаки на конкретные учетные записи
• Блокировка административных учетных записей
• Необычное время блокировок</t>
  </si>
  <si>
    <t>• Удаление административных учетных записей
• Удаление учетных записей в нерабочее время
• Удаление системных или сервисных учетных записей
• Массовое удаление учетных записей</t>
  </si>
  <si>
    <t>• AS-REP Roasting (запросы без предаутентификации)
• Использование слабого шифрования (RC4)
• Запросы TGT в нерабочее время
• Аномальное количество запросов от одного пользователя</t>
  </si>
  <si>
    <t>• Использование RunAs для эскалации привилегий
• Запуск процессов от имени SYSTEM или администратора
• Использование явных учетных данных в скриптах
• Неожиданное использование RunAs обычными пользователями</t>
  </si>
  <si>
    <t>• Kerberoasting (запросы TGS для сервисных аккаунтов)
• Запросы с опцией Renewable
• Использование RC4 для шифрования
• Аномальные запросы к нестандартным службам
• Массовые запросы TGS от одного пользователя</t>
  </si>
  <si>
    <t>• Отключение административных учетных записей (атака на доступ)
• Массовое отключение учетных записей
• Отключение учетных записей в нерабочее время
• Отключение мониторинговых учетных записей</t>
  </si>
  <si>
    <t>• Сброс паролей привилегированных учетных записей
• Множественные попытки сброса пароля
• Сброс паролей в нерабочее время
• Сброс паролей для отключенных учетных записей</t>
  </si>
  <si>
    <t>• Включение отключенных административных учетных записей
• Включение учетных записей в нерабочее время
• Включение ранее скомпрометированных учетных записей
• Множественное включение учетных записей</t>
  </si>
  <si>
    <t>• Добавление в привилегированные группы (Domain Admins, Enterprise Admins)
• Добавление неожиданных пользователей в группы
• Добавление в нерабочее время
• Добавление в несколько групп одновременно</t>
  </si>
  <si>
    <t>• Удаление администраторов из привилегированных групп
• Удаление легитимных пользователей из групп
• Удаление в нерабочее время
• Удаление из нескольких групп одновременно</t>
  </si>
  <si>
    <t>• Добавление в локальную группу Administrators
• Добавление в Remote Desktop Users
• Добавление неожиданных пользователей
• Добавление в нерабочее время</t>
  </si>
  <si>
    <t>• Неожиданное завершение системных процессов
• Завершение антивирусных процессов
• Завершение процессов мониторинга
• Массовое завершение процессов</t>
  </si>
  <si>
    <t>• Изменение системных задач
• Добавление malicious действий в существующие задачи
• Изменение триггеров на более частые
• Модификация задач в нерабочее время</t>
  </si>
  <si>
    <t>• Доступ к защищенным файлам (SAM, SECURITY, SYSTEM)
• Запрос Write DACL или Write Owner прав
• Доступ к процессам lsass, csrss
• Множественные запросы доступа к объектам
• Доступ из нетипичных процессов</t>
  </si>
  <si>
    <t>• Неавторизованный доступ к защищенным файлам
• Попытки чтения системных файлов
• Доступ к файлам конфигурации
• Множественные попытки доступа
• Доступ из нетипичных процессов</t>
  </si>
  <si>
    <t>• DCSync атаки (репликация изменений)
• Изменение членства в привилегированных группах
• Модификация атрибутов безопасности
• Добавление SID History
• Операции в нерабочее время</t>
  </si>
  <si>
    <t>• Вызов критических системных служб
• Использование служб для обхода контроля
• Вызов служб в нерабочее время
• Частые вызовы привилегированных служб</t>
  </si>
  <si>
    <t>• Неожиданные перезагрузки систем
• Перезагрузки в нерабочее время
• Частые перезагрузки
• Перезагрузки после подозрительной активности</t>
  </si>
  <si>
    <t>• Изменение времени для скрытия активности
• Изменение времени в нерабочее время
• Частые изменения времени
• Изменение времени нетипичными процессами</t>
  </si>
  <si>
    <t>• Изменение существующих правил для разрешения трафика
• Модификация правил безопасности
• Изменение правил в нерабочее время
• Частые изменения правил</t>
  </si>
  <si>
    <t>• Множественные блокировки для одного источника
• Блокировки известных атак
• Попытки подключения к закрытым портам
• Сканирование портов</t>
  </si>
  <si>
    <t>• Неожиданные переподключения RDP сессий
• Подозрительные IP адреса для переподключений
• Переподключения в нерабочее время
• Множественные переподключения одной сессии</t>
  </si>
  <si>
    <t>• Массовые отключения сессий
• Отключение административных сессий
• Отключения в нерабочее время
• Аномальные patterns отключений</t>
  </si>
  <si>
    <t>• Неожиданные блокировки рабочих станций
• Блокировки серверов (ненормальное поведение)
• Массовые блокировки в одно время
• Блокировки в нерабочее время</t>
  </si>
  <si>
    <t>• Разблокировка в нерабочее время
• Разблокировка серверов (ненормальное поведение)
• Множественные разблокировки
• Разблокировка после компрометации</t>
  </si>
  <si>
    <t>• AS-REP Roasting (статус 0x6 - PREAUTH_FAILED)
• Подбор паролей Kerberos
• Использование слабого шифрования
• Массовые неудачные аутентификации</t>
  </si>
  <si>
    <t>• Разблокировка учетных записей после brute-force атак
• Разблокировка в нерабочее время
• Разблокировка привилегированных учетных записей
• Множественные разблокировки одним пользователем</t>
  </si>
  <si>
    <t>• Изменение userAccountControl (например, отключение требований пароля)
• Добавление servicePrincipalName для Kerberoasting
• Изменение sAMAccountName
• Изменение атрибутов безопасности
• Модификация в нерабочее время</t>
  </si>
  <si>
    <t>• Добавление в универсальные группы, которые входят в Domain Admins
• Добавление неожиданных пользователей
• Изменения в нерабочее время
• Множественные изменения групп</t>
  </si>
  <si>
    <t>• Добавление в локальные группы ресурсов
• Изменение прав доступа к ресурсам
• Изменения в нерабочее время
• Добавление неожиданных пользователей</t>
  </si>
  <si>
    <t>• Изменение разрешений на системные файлы
• Добавление прав на запись для всех (Everyone)
• Изменение DACL ключей реестра автозапуска
• Модификация разрешений в нерабочее время
• Удаление аудита с объектов</t>
  </si>
  <si>
    <t>• Отключение аудита доступа к критическим файлам
• Изменение политик аудита для скрытия активности
• Модификация SACL в нерабочее время
• Отключение аудита системных процессов</t>
  </si>
  <si>
    <t>• Отключение аудита для системных файлов
• Изменение аудита ключей реестра
• Модификация SACL в нерабочее время
• Отключение мониторинга критических объектов</t>
  </si>
  <si>
    <t>• Добавление SeDebugPrivilege обычным пользователям
• Назначение SeTcbPrivilege
• Добавление привилегий в нерабочее время
• Назначение multiple привилегий одновременно</t>
  </si>
  <si>
    <t>• Отключение аудита процессов
• Отключение аудита логонов
• Изменение политик аудита в нерабочее время
• Глобальное отключение мониторинга</t>
  </si>
  <si>
    <t>• Разведка привилегированных групп (Domain Admins, Enterprise Admins)
• Перечисление групп из неожиданных IP
• Массовые запросы о составе групп
• Запросы в нерабочее время</t>
  </si>
  <si>
    <t>• Разведка структуры Active Directory
• Перечисление групп из неожиданных IP
• Массовые запросы о группах
• Запросы в нерабочее время</t>
  </si>
  <si>
    <t>• DCSync атаки (репликация изменений)
• Изменение членства в привилегированных группах
• Модификация атрибутов безопасности
• Добавление SID History</t>
  </si>
  <si>
    <t>• Создание backdoor учетных записей
• Создание нелегитимных объектов
• Создание объектов в нерабочее время
• Массовое создание объектов</t>
  </si>
  <si>
    <t>• Восстановление ранее удалённых административных или служебных учётных записей
• Повторное появление объектов с изменёнными атрибутами доступа
• Восстановление объектов в нерабочее время неавторизованными пользователями
• Массовое восстановление объектов после массового удаления (возможная подготовка к восстановлению после атаки)
• Восстановление отключённых или скомпрометированных объектов без изменения пароля/состояния</t>
  </si>
  <si>
    <t>• Создание скрытых share для эксфильтрации
• Добавление общих папок в нерабочее время
• Создание share с подозрительными именами
• Добавление share с широкими правами</t>
  </si>
  <si>
    <t>• Включение SeDebugPrivilege
• Манипуляции с токенами для эскалации привилегий
• Использование токенов в нерабочее время
• Манипуляции нетипичными процессами</t>
  </si>
  <si>
    <t>• Использование RunAs для эскалации привилегий
• Pass-the-Hash атаки
• Использование явных учетных данных в скриптах
• Неожиданное использование RunAs обычными пользователями</t>
  </si>
  <si>
    <t>• Попытки подключения к C2-серверам
• Сканирование портов
• Исходящие подключения от неизвестных процессов
• Блокировка известных malicious IP</t>
  </si>
  <si>
    <t>• Удаление логов или следов атаки
• Уничтожение критических системных файлов
• Очистка временных папок после выполнения payload</t>
  </si>
  <si>
    <t>• Попытка зарегистрировать источник с именем, имитирующим системный процесс (svchost.exe, lsass.exe)
• Создание источника для маскировки вредоносных событий под легитимные
• Регистрация источника для скрытия следов атаки в легитимном журнале
• Использование источника с названием антивируса/системы мониторинга для фишинга событий</t>
  </si>
  <si>
    <t>• Отключение защиты от переполнения журнала аудита
• Попытка избежать перезагрузки при заполнении журнала</t>
  </si>
  <si>
    <t>• Отключение аудита доступа к критическим файлам или ключам реестра
• Скрытие следов атаки на конкретные объекты</t>
  </si>
  <si>
    <t>• Сканирование портов 3389
• Попытки перебора (брутфорс) учетных данных RDP
• Проверка доступности службы RDP перед атакой</t>
  </si>
  <si>
    <t>• Несанкционированный запуск службы RDP на системе, где она должна быть отключена
• Перезапуск службы злоумышленником после сбоя</t>
  </si>
  <si>
    <t>• Подготовка окружения для атаки, требующей записи большого объема данных в профиль
• Сокрытие инструментов в кэше профиля</t>
  </si>
  <si>
    <t>• Регистрация несистемного процесса как доверенного (например, userapp.exe)
• Повторные регистрации одного процесса за короткий период (сбой/перезапуск)
• Отсутствие 4611 для стандартных процессов входа (winlogon, lsass)
• Процессы с неправильными путями или хэшами
• Регистрация после компрометации системы или внедрения в память
• 4611 от имени пользователя, а не SYSTEM</t>
  </si>
  <si>
    <t>• COM/DCOM-активация из нетипичных процессов (например, cmd.exe, powershell.exe запускают Excel COM-объект)
• Множественные события 4665 за короткий период (перебор CLSID или SID)
• Создание контекста для привилегированных учетных записей из-под низкоуровневого пользователя
• Использование COM-объектов, известных как векторы атак (MMC20.Application, ShellWindows, ExcelDDE, InternetExplorer.Application)
• Активация COM-объектов из временных папок или нестандартных расположений
• Событие, сопровождающееся последующим сетевым подключением (признак DCOM lateral movement)</t>
  </si>
  <si>
    <t>• Дублирование хендла процесса lsass.exe, winlogon.exe, csrss.exe из нетипичного процесса
• Процесс с низким уровнем целостности (Low Integrity) дублирует хендл процесса с High/System Integrity
• Многократные попытки дублирования хендлов за короткий период (признак инструментов типа Mimikatz, Incognito)
• Дублирование хендлов с запросом прав PROCESS_ALL_ACCESS или TOKEN_ALL_ACCESS
• Процессы, дублирующие хендлы из временных папок (Temp, AppData) или с нестандартными именами
• Дублирование хендлов с последующим созданием процесса (4696)</t>
  </si>
  <si>
    <t>• Запуск процесса explorer.exe или cmd.exe под учётной записью SYSTEM
• Процесс, запущенный под учётной записью администратора, но инициированный из-под обычного пользователя
• Назначение токена процессу из нетипичного родительского процесса (например, браузер запускает powershell)
• Повторяющиеся события 4696 для одного процесса (возможная попытка повышения привилегий)
• Запуск системных утилит (regedit, taskmgr, diskmgmt) под непривилегированным пользователем</t>
  </si>
  <si>
    <t>• Смена пароля в нерабочее время
• Многократные неудачные попытки смены пароля для одной учётной записи (подбор пароля)
• Попытка сменить пароль для учётной записи, которая в данный момент неактивна (пользователь в отпуске)
• Смена пароля с рабочей станции, не типичной для данного пользователя
• Событие 4723 для учётной записи службы (service account)
• Смена пароля сопровождается другими подозрительными событиями (4696, 4688, 4625)
• Успешная смена пароля после серии неудачных попыток входа (4625) — возможный компрометатор</t>
  </si>
  <si>
    <t>• Включение разделения ролей в нерабочее время
• Изменение настроек разделения ролей не администратором безопасности
• Событие 4897 без последующего события 4902 (политика аудита)
• Включение разделения ролей на тестовом CA без согласования
• Повторное включение/отключение разделения ролей за короткий период
• Событие 4897 после подозрительной активности на контроллере домена</t>
  </si>
  <si>
    <t>• Пользователь входит с членством в группах "Администраторы" или "Domain Admins", но не является администратором
• Внезапное появление пользователя в чувствительных группах (Account Operators, Backup Operators)
• Разные группы при последовательных входах одного пользователя (возможное изменение членства злоумышленником)
• Пользователь входит с группами из другого домена или леса
• Отсутствие ожидаемых групп у привилегированного пользователя (возможная кража токена)
• Пользователь службы (service account) входит с группами, не предназначенными для служб</t>
  </si>
  <si>
    <t>• Использование SeDebugPrivilege (отладка процессов) — возможен анализ/внедрение в процессы
• Использование SeBackupPrivilege или SeRestorePrivilege в нерабочее время
• SeTakeOwnershipPrivilege — захват владения системными файлами
• SeTcbPrivilege (Действовать как часть ОС) — крайне привилегированное право
• SeLoadDriverPrivilege — загрузка драйверов
• Повторное использование одной привилегии в короткий период</t>
  </si>
  <si>
    <t>• Назначение права "SeServiceLogonRight" (вход как служба) обычному пользователю
• Добавление права "SeNetworkLogonRight" (сетевой вход) учётной записи, которая ранее его не имела
• Изменение прав входа в нерабочее время или с нестандартной рабочей станции
• Назначение прав входа учётной записи службы, которая не должна входить интерактивно
• Право "SeRemoteInteractiveLogonRight" (RDP) для неадминистративных учётных записей
• Массовое изменение прав входа для нескольких пользователей одновременно
• Назначение прав входа учётной записи, которая была неактивна длительное время</t>
  </si>
  <si>
    <t>• Отзыв права "SeRemoteInteractiveLogonRight" (RDP) у администратора в рабочее время
• Массовый отзыв прав входа у группы пользователей без бизнес-причины
• Отзыв права "SeServiceLogonRight" у критической службы (может привести к её остановке)
• Изменение прав входа с последующими событиями неудачного входа (4625) для тех же пользователей
• Отзыв всех прав входа у учётной записи, которая должна оставаться активной
• Событие 4718 без соответствующего события 4717 в истории (необоснованное удаление)
• Отзыв прав входа у учётной записи сразу после её успешного входа из подозрительного места</t>
  </si>
  <si>
    <t>• Удаление пользователя из группы "Администраторы" на критическом сервере
• Удаление службы безопасности (например, AV, EDR) из групп с повышенными правами
• Массовое удаление пользователей из групп перед атакой на доступ
• Удаление легитимного администратора из административных групп
• Удаление доменной группы из локальной группы безопасности на рабочей станции
• Последовательность: добавление в группу (4732) → действия → удаление из группы (4733)
• Удаление из группы "Remote Desktop Users" во время активных RDP-сессий</t>
  </si>
  <si>
    <t>• Создание учётной записи компьютера без реального физического/виртуального сервера
• Имя компьютера не соответствует корпоративному стандарту именования
• Создание в нерабочее время или с непривилегированной учётной записи
• Массовое создание учётных записей компьютеров за короткий период
• Учётная запись компьютера без символа $ в конце имени (аномалия)
• Создание учётной записи с именем, похожим на существующий сервер (WS01$ vs WS01-New$)
• Создание сразу после компрометации учётной записи администратора
• Отсутствие последующих событий входа с этой учётной записью (компьютер никогда не присоединялся)</t>
  </si>
  <si>
    <t>• Удаление учётной записи активного сервера или РМ без согласованных работ
• Удаление компьютерной учётной записи контроллера домена (критично!)
• Массовое удаление учётных записей компьютеров за короткий период
• Удаление в нерабочее время или с непривилегированной учётной записи
• Удаление объекта сразу после компрометации административной учётной записи
• Нет соответствующего тикета или согласованного вывода из эксплуатации
• Удаление с последующим быстрым пересозданием объекта с тем же именем (возможный SID-history abuse)</t>
  </si>
  <si>
    <t>• Изменение пароля DSRM в нерабочее время или без плановых работ
• Сброс пароля DSRM после компрометации учётной записи администратора
• Несколько попыток изменения пароля DSRM за короткий период
• Изменение пароля DSRM с рабочей станции (не с контроллера домена)
• Событие 4794 без соответствующего запроса на обслуживание или инцидента
• Изменение пароля DSRM сразу после обнаружения уязвимости в AD
• Событие от учётной записи, которая не является администратором домена
• Отсутствие логирования использования ntdsutil перед событием 4794</t>
  </si>
  <si>
    <t>• Множественные события 4816 от одного источника (возможный MITM или повреждённый клиент)
• События при обращениях к критическим RPC-службам (LSASS, SCM, SAMR, DRSUAPI)
• Совпадение по времени с попытками lateral movement (PsExec, WMI, DCOM)
• Ошибки целостности в момент известных эксплоитов RPC (Zerologon, PrintNightmare)</t>
  </si>
  <si>
    <t>• Частые события 1101 без явных причин (возможная DoS-атака на журналирование)
• 1101, сопровождаемый событиями 1104 (переполнение журнала)
• Потеря аудита перед критическими изменениями (сброс паролей, изменение групп)
• События 1101 на нескольких системах одновременно (скоординированная атака)
• 1101 после подозрительной сетевой активности или сканирования портов
• Потеря логов в момент известных уязвимостей или эксплойтов
• 1101 на системах, где отключено резервное копирование журналов</t>
  </si>
  <si>
    <t>• Частые 1104 на критических серверах (возможная атака для сокрытия следов)
• Переполнение журнала после серии подозрительных событий
• 1104 на нескольких системах одновременно (скоординированная атака)
• Переполнение, вызванное огромным количеством ошибочных событий входа (4625)
• 1104 после изменения политики аудита или настроек журнала
• Потеря логов во время известных эксплуатаций уязвимостей
• 1104, за которым следует отключение системы (если настроено завершение работы)</t>
  </si>
  <si>
    <t>• Частое создание архивов (каждые несколько часов/дней)
• Архивирование журнала после серии подозрительных событий
• Отсутствие архивных файлов в папке Logs (возможно удаление злоумышленником)
• Архивы нестандартного размера (очень маленькие или огромные)
• 1105 без предшествующего 1104 (архивирование до полного заполнения)
• Архивы, созданные в нерабочее время без видимой причины
• Несколько архивов за короткий период (признак атаки на переполнение логов)</t>
  </si>
  <si>
    <t>• Множественные 1108 на разных системах одновременно (возможная атака)
• 1108 после попыток очистки журналов (104, 1102)
• Ошибки журнала, сопровождаемые сбоями других служб безопасности
• 1108 в момент известных атак на подсистему журналирования
• Постоянные 1108 без восстановления (возможное постоянное воздействие)
• Ошибки после установки подозрительного ПО или обновлений
• 1108 вместе с событиями целостности кода (5038, 6281)</t>
  </si>
  <si>
    <t>• Отсутствие 4609 при штатном выключении (ожидаемое поведение в 2008)
• Резкая остановка логов без событий завершения работы
• Событие 6006 без предшествующего 4609
• Выключение системы в нерабочее время без соответствующих событий
• Множественные системы, выключенные одновременно без логов 4609
• Отсутствие 4609 после подозрительной активности (возможное принудительное выключение)
• Выключение во время выполнения критических операций без аудита завершения</t>
  </si>
  <si>
    <t>• Мгновенный выход после входа (сеансы &lt;1 минуты) — возможен подбор учётных данных
• Выход администратора в нерабочее время с последующим входом с другого IP
• Множественные выходы/входы за короткий период (перебор паролей или токенов)
• Выход из системы сразу после выполнения подозрительных команд
• Отсутствие 4647 при завершении работы системы (пользователь остаётся "в системе")
• RDP-сеансы, завершающиеся 4647 без действий пользователя (автоматизированный выход)
• Выход из системы после доступа к чувствительным данным или файлам</t>
  </si>
  <si>
    <t>• Включение задания с подозрительным именем (например, "temp", "update", случайные строки)
• Задания, активированные в нерабочее время без утверждённых изменений
• Запуск исполняемых файлов из временных каталогов (Temp, AppData)
• Задания, выполняющие PowerShell, cmd, wscript с закодированными командами
• Активация задания сразу после его создания (4698 → 4700)
• Задания, включённые непривилегированными пользователями
• Запланированные задачи, запускающие сетевые утилиты (curl, certutil, bitsadmin)
• Задания, настроенные на выполнение каждые несколько минут (постоянное присутствие)
• Активация системных заданий, которые обычно отключены</t>
  </si>
  <si>
    <t>• Отключение критических системных заданий (бэкапы, мониторинг, AV-обновления)
• Деактивация заданий безопасности (сканирование, аудит, EDR) злоумышленником
• 4701 сразу после 4700 (быстрое включение-выключение — возможна проверка работы)
• Отключение заданий в нерабочее время без утверждённых изменений
• Массовая деактивация заданий на нескольких системах одновременно
• Отключение заданий, которые выполняют обнаружение угроз или сбор логов
• 4701 от учётной записи, которая не является администратором или владельцем задачи
• Деактивация задания сразу после его успешного выполнения подозрительных действий
• Отключение заданий, которые мешают работе вредоносного ПО (конкуренция за ресурсы)</t>
  </si>
  <si>
    <t>• Частые 4902 без перезагрузок системы (возможна настройка аудита злоумышленником)
• Событие от непривилегированного пользователя (не система)
• 4902 после попыток отключения аудита (4719, 4905)
• Изменения политик аудита в момент известных атак на систему журналирования
• 4902 на контроллере домена в нерабочее время (изменение доменных политик)
• Событие, сопровождаемое очисткой журналов (1102, 1104)</t>
  </si>
  <si>
    <t>• LSA Authentication Package Name — имя доверенного пакета аутентификации
• Subject — SYSTEM (обычно)</t>
  </si>
  <si>
    <t>• Subject — субъект операции
• Application Name — приложение Authorization Manager
• Client Context — параметры контекста клиента</t>
  </si>
  <si>
    <t>• Source Handle ID — исходный хендл
• New Handle ID — новый хендл
• Source Process — исходный процесс
• Target Process — целевой процесс</t>
  </si>
  <si>
    <t>• Subject User Name — кто выполнил назначение
• Target Process — целевой процесс
• New Token Information — SID в новом токене</t>
  </si>
  <si>
    <t>• Target Account — учётная запись, для которой меняется пароль
• Subject User — кто инициировал смену
• Status — результат смены</t>
  </si>
  <si>
    <t>• Subject — учётная запись службы CA
• Loaded Templates / Configuration Items — изменённые элементы
• Reason — причина перезагрузки</t>
  </si>
  <si>
    <t>• Subject — учётная запись
• User Claims — клеймы пользователя
• Device Claims — клеймы устройства</t>
  </si>
  <si>
    <t>• Subject — учётная запись
• Logon ID — ID сессии (коррелирует с 4624)
• Group Membership — список SID групп</t>
  </si>
  <si>
    <t>• Subject — кто выполнил операцию
• Object — объект операции
• Privileges — использованные привилегии
• Process Name — процесс, выполнивший действие</t>
  </si>
  <si>
    <t>• Subject — кто назначил право
• Target Account — целевая учётная запись
• Access Right — название предоставленного права</t>
  </si>
  <si>
    <t>• Subject — кто отозвал право
• Target Account — целевая учётная запись
• Access Right — название отозванного права</t>
  </si>
  <si>
    <t>• Subject — кто выполнил удаление
• Group Name — локальная группа
• Member — удалённый член (SID/имя)</t>
  </si>
  <si>
    <t>• Subject — кто создал учётную запись
• New Computer Account — имя $
• SID — идентификатор
• DN — Distinguished Name объекта</t>
  </si>
  <si>
    <t>• Subject — кто изменил пароль DSRM
• Target Account — Administrator (DSRM)
• Workstation — имя контроллера домена</t>
  </si>
  <si>
    <t>• Client Address — исходный адрес
• Protocol Sequence — протокол RPC
• SecurityError — код ошибки</t>
  </si>
  <si>
    <t>• Dropped Events Count — количество потерянных событий
• Channel — журнал, в котором произошла потеря</t>
  </si>
  <si>
    <t>• Channel — имя журнала
• Нет дополнительных полей (только факт переполнения)</t>
  </si>
  <si>
    <t>• BackupPath — путь к архивному файлу
• Channel — имя журнала</t>
  </si>
  <si>
    <t>• Error Code — код ошибки
• Description — описание проблемы</t>
  </si>
  <si>
    <t>• Subject — SYSTEM или инициатор выключения
• Нет дополнительных полей</t>
  </si>
  <si>
    <t>• Target User Name — имя пользователя
• Target Logon ID — ID сессии (коррелирует с 4624)</t>
  </si>
  <si>
    <t>• Task Name — имя задания
• Task Content — XML описание
• Subject — кто включил задание</t>
  </si>
  <si>
    <t>• Task Name — имя задания
• Task Content — XML описание
• Subject — кто отключил задание</t>
  </si>
  <si>
    <t>• Subject User SID — пользователь, для которого создана таблица
• Audit Policy Changes — применённые политики</t>
  </si>
  <si>
    <t>• Административное обслуживание
• Форензика
• Тестирование на проникновение</t>
  </si>
  <si>
    <t>• Запуск приложения от имени другого пользователя
• Использование PowerShell с -Credential
• Имперсонация в приложениях
• Lateral movement атаки</t>
  </si>
  <si>
    <t>• RDP сессия переподключена после обрыва
• Переключение между сессиями
• Пользователь переподключается к существующей сессии</t>
  </si>
  <si>
    <t>• Пользователь выходит из системы
• RDP сессия закрыта
• Сессия завершена по таймауту
• Принудительное отключение администратором</t>
  </si>
  <si>
    <t>• Пользователь блокирует рабочую станцию (Win+L)
• Автоматическая блокировка по таймауту
• Блокировка при выходе из спящего режима</t>
  </si>
  <si>
    <t>• Пользователь разблокирует рабочую станцию
• Разблокировка после ввода пароля
• Автоматическая разблокировка</t>
  </si>
  <si>
    <t>• AS-REP Roasting атака
• Brute-force Kerberos паролей
• Попытки использовать слабое шифрование
• Атаки на сервисные аккаунты</t>
  </si>
  <si>
    <t>• Target Account - целевая учетная запись
• Process Name - процесс, запросивший доступ
• Access Mask - запрашиваемые права</t>
  </si>
  <si>
    <t>• Account Name - аутентифицируемая учетная запись
• Workstation Name - рабочая станция
• Service Name - служба, запросившая аутентификацию
• Status - результат аутентификации</t>
  </si>
  <si>
    <t>• Account Name - запрашивающий пользователь
• Service Name - krbtgt/domain
• Ticket Encryption Type - тип шифрования (AES, RC4)
• Client Address - IP клиента
• Pre-Authentication Type - тип предаутентификации</t>
  </si>
  <si>
    <t>• Account Name - пользователь
• Service Name - целевая служба
• Ticket Encryption Type - тип шифрования
• Ticket Options - опции билета
• Result Code - результат запроса</t>
  </si>
  <si>
    <t>• Account Name - имя учетной записи
• Session Name - имя сессии
• Client Address - IP адрес клиента
• Logon Type - тип входа</t>
  </si>
  <si>
    <t>• Account Name - имя учетной записи
• Session Name - имя сессии
• Client Address - IP адрес клиента</t>
  </si>
  <si>
    <t>• Account Name - имя учетной записи
• Session ID - идентификатор сессии</t>
  </si>
  <si>
    <t>• Service Name - имя службы
• Client Address - IP адрес клиента
• Status - код статуса ошибки
• Ticket Encryption Type - тип шифрования билета</t>
  </si>
  <si>
    <t>Аутентификация (устаревшее)</t>
  </si>
  <si>
    <t>Универсальная группа безопасности была изменена</t>
  </si>
  <si>
    <t>• Администратор добавляет пользователя в группу
• Изменение членства в группах рассылки
• Настройка прав доступа через группы</t>
  </si>
  <si>
    <t>• Настройка прав доступа к общим папкам
• Изменение членства в группах приложений
• Администрирование прав доступа</t>
  </si>
  <si>
    <t>• Администратор разблокирует учетную запись после блокировки
• Разблокировка по запросу пользователя
• Автоматическая разблокировка по политике</t>
  </si>
  <si>
    <t>• Изменение настроек учетной записи администратором
• Добавление SPN для службы
• Изменение политик паролей
• Настройка делегирования</t>
  </si>
  <si>
    <t>• Subject - кто выполнил добавление
• Member - добавленный пользователь
• Group - целевая группа
• Group Domain - домен группы</t>
  </si>
  <si>
    <t>• Group Name - имя группы
• Member - добавленный/удаленный член
• Subject User - пользователь, выполнивший изменение</t>
  </si>
  <si>
    <t>• Subject - кто создал учетную запись
• New Account - имя новой учетной записи
• Account Domain - домен учетной записи
• SID - Security Identifier
• Group Membership - первоначальные группы</t>
  </si>
  <si>
    <t>• TargetUserName - имя вышедшего пользователя
• TargetDomainName - домен
• TargetLogonId - уникальный ID сессии
• LogonType - тип завершенного сеанса</t>
  </si>
  <si>
    <t>• Target Account - целевая учетная запись
• Subject User - пользователь, выполнивший разблокировку
• Subject Domain - домен субъекта</t>
  </si>
  <si>
    <t>• Target Account - целевая учетная запись
• Attribute LDAP Name - имя изменяемого атрибута
• Old Value - старое значение
• New Value - новое значение
• Subject User - пользователь, выполнивший изменение</t>
  </si>
  <si>
    <t>Служба была установлена в системе (журнал System)</t>
  </si>
  <si>
    <t>https://learn.microsoft.com/en-us/windows/security/threat-protection/auditing/audit-system-events</t>
  </si>
  <si>
    <t>• Приложение использует привилегии
• Системный процесс манипулирует токенами
• Административные операции с токенами</t>
  </si>
  <si>
    <t>• Task Name - имя задачи
• Task Content - содержимое задачи (XML)
• Subject - кто создал задачу
• Triggers - триггеры выполнения
• Actions - действия задачи</t>
  </si>
  <si>
    <t>• Subject - кто создал процесс (родитель)
• New Process Name - имя нового процесса
• Process ID - PID нового процесса
• Parent Process Name - имя родительского процесса
• Command Line - командная строка процесса
• Token Elevation Type - тип повышения привилегий</t>
  </si>
  <si>
    <t>• Service Name - имя службы
• Service File Name - путь к исполняемому файлу
• Service Type - тип службы
• Start Type - тип запуска (авто, ручной)
• Account - учетная запись службы</t>
  </si>
  <si>
    <t>• Process Name - имя процесса
• Token Type - тип токена
• Subject User - субъект операции</t>
  </si>
  <si>
    <t>Был установлен дескриптор безопасности, используемый для делегирования доступа к политике аудита. Происходит при делегировании полномочий управления системной политикой аудита (например, через команду auditpol /sd).</t>
  </si>
  <si>
    <t>• Настройка аудита доступа к файлам
• Изменение политик мониторинга
• Конфигурация аудита реестра</t>
  </si>
  <si>
    <t>• Настройка прав пользователей через GPO
• Назначение привилегий для приложений
• Конфигурация сервисных аккаунтов</t>
  </si>
  <si>
    <t>• Изменение групповых политик аудита
• Настройка централизованного аудита
• Конфигурация мониторинга безопасности</t>
  </si>
  <si>
    <t>• Настройка мониторинга приложения через централизованный сбор логов
• Регистрация источников для кастомных служб или скриптов
• Тестирование систем аудита и SIEM-интеграций
• Легальная настройка источников для стороннего ПО безопасности
• Плановое обновление источников событий при обновлении приложений</t>
  </si>
  <si>
    <t>• Настройка параметров аудита системы</t>
  </si>
  <si>
    <t>• Настройка детального аудита доступа к файлам
• Изменение политик мониторинга</t>
  </si>
  <si>
    <t>• Нормальное удаление файлов пользователем
• Очистка временных данных приложениями
• Административное удаление объектов</t>
  </si>
  <si>
    <t>• Доступ пользователя к общей папке
• Копирование файлов по сети
• Выполнение приложений из сетевых ресурсов</t>
  </si>
  <si>
    <t>• Пользователь проверяет доступные share
• Скрипт перечисляет сетевые ресурсы
• Приложение ищет общие папки</t>
  </si>
  <si>
    <t>• Администратор создает общую папку
• Настройка доступа к ресурсам
• Создание временного share</t>
  </si>
  <si>
    <t>• Администратор изменяет права доступа к файлу
• Настройка разрешений на общие папки
• Изменение прав на ключи реестра
• Настройка аудита доступа</t>
  </si>
  <si>
    <t>• Настройка политик аудита доступа
• Изменение параметров аудита файловой системы
• Конфигурация мониторинга доступа</t>
  </si>
  <si>
    <t>• Object Name - имя объекта
• Object Type - тип объекта
• Old SACL - старые настройки аудита
• New SACL - новые настройки аудита</t>
  </si>
  <si>
    <t>• Privilege List - список привилегий
• Subject User - пользователь, выполнивший назначение
• Target User - целевой пользователь</t>
  </si>
  <si>
    <t>• Policy Changes - измененные политики
• Subject User - пользователь, выполнивший изменение</t>
  </si>
  <si>
    <t>• Old Value - старое значение
• New Value - новое значение
• Subject - субъект изменения</t>
  </si>
  <si>
    <t>• Object Name - имя объекта
• Object Type - тип объекта
• Old SACL - старые настройки
• New SACL - новые настройки</t>
  </si>
  <si>
    <t>• Object Name - имя объекта
• Object Type - тип объекта (File, Key, Process)
• Access Mask - запрашиваемые права
• Process Name - процесс, запросивший доступ
• Accesses - текстовое описание прав</t>
  </si>
  <si>
    <t>• Object DN - Distinguished Name объекта
• Operation Type - тип операции (Value Added, Value Deleted)
• Attribute LDAP Display Name - атрибут AD
• Subject - кто выполнил операцию</t>
  </si>
  <si>
    <t>• Object Name - имя объекта
• Object Type - тип объекта
• Process Name - процесс
• Accesses - тип доступа (DELETE)</t>
  </si>
  <si>
    <t>• Share Name - имя общей папки
• Source Address - исходный IP адрес
• Object Name - имя объекта (файла)
• Accesses - права доступа</t>
  </si>
  <si>
    <t>• Share Name - имя общей папки
• Source Address - исходный IP адрес</t>
  </si>
  <si>
    <t>• Share Name - имя общей папки
• Share Path - путь к папке
• Subject User - пользователь, создавший share</t>
  </si>
  <si>
    <t>• Object Name - имя объекта
• Object Type - тип объекта (File, Key, Directory)
• Old DACL - старые разрешения
• New DACL - новые разрешения
• Process Name - процесс, изменивший разрешения</t>
  </si>
  <si>
    <t>• Resource Attribute - атрибут ресурса
• Old Value - старое значение
• New Value - новое значение
• Subject - субъект изменения</t>
  </si>
  <si>
    <t>• Администратор проверяет состав группы
• Скрипт аудита перечисляет членство
• Приложение запрашивает информацию о группе</t>
  </si>
  <si>
    <t>• Администратор перечисляет группы
• Скрипт аудита собирает информацию о группах
• Приложение запрашивает список групп</t>
  </si>
  <si>
    <t>• Изменение объектов AD администратором
• Синхронизация между DC
• Модификация атрибутов объектов</t>
  </si>
  <si>
    <t>• Создание пользователя администратором
• Добавление новой группы
• Создание объекта службы</t>
  </si>
  <si>
    <t>• Плановое восстановление ошибочно удалённых учётных записей пользователей
• Восстановление объектов из корзины Active Directory после тестирования
• Возврат организационных подразделений (OU) после реорганизации структуры каталога
• Восстановление групп доступа при устранении последствий сбоя миграции
• Легальное восстановление объектов в рамках процедур аварийного восстановления (DR)</t>
  </si>
  <si>
    <t>• Group Name - имя группы
• Subject User - пользователь, выполнивший запрос
• Client Address - IP адрес клиента</t>
  </si>
  <si>
    <t>• Subject User - пользователь, выполнивший запрос
• Client Address - IP адрес клиента</t>
  </si>
  <si>
    <t>• DS Name - имя каталога
• Object DN - Distinguished Name объекта
• Subject - субъект создания</t>
  </si>
  <si>
    <t>Windows Filtering Platform заблокировал пакет</t>
  </si>
  <si>
    <t>Windows Filtering Platform (WFP) заблокировал сетевой пакет по правилу брандмауэра. Регистрируется на уровне пакета (более низкий уровень чем 5157)</t>
  </si>
  <si>
    <t>• Нормальная работа брандмауэра
• Блокировка атак из внешних сетей
• Предотвращение утечки данных</t>
  </si>
  <si>
    <t>• Rule Name - имя правила
• Process Name - процесс
• Direction - направление
• Source/Destination IP
• Protocol - протокол
• Reason - причина блокировки</t>
  </si>
  <si>
    <t>• Application - приложение
• Direction - направление (Inbound/Outbound)
• Source Address - исходный IP
• Source Port - исходный порт
• Destination Address - целевой IP
• Destination Port - целевой порт
• Protocol - протокол</t>
  </si>
  <si>
    <t>• Легитимный удаленный доступ администратора
• Подключение пользователя к рабочему столу VDI/RDS</t>
  </si>
  <si>
    <t>• Нормальная попытка подключения пользователя
• Автоматизированные проверки доступности сервиса</t>
  </si>
  <si>
    <t>• Штатный запуск на RDS-сервере
• Администратор вручную включает службу для удаленного доступа</t>
  </si>
  <si>
    <t>• Подключение с клиента Windows с современной графикой
• Автоматический выбор графического стека</t>
  </si>
  <si>
    <t>• Инициализация соединения на серверах с высокой нагрузкой</t>
  </si>
  <si>
    <t>• Создание новой сессии удаленного рабочего стола</t>
  </si>
  <si>
    <t>• Административная настройка сервера для увеличения лимита профилей</t>
  </si>
  <si>
    <t>• Попытка запуска RDS-функции на обычном сервере или рабочей станции</t>
  </si>
  <si>
    <t>• User
• Domain
• SourceNetworkAddress
• Protocol</t>
  </si>
  <si>
    <t>• SourceNetworkAddress
• ListenerName</t>
  </si>
  <si>
    <t>• ListenerName
• PortNumber</t>
  </si>
  <si>
    <t>• SessionID</t>
  </si>
  <si>
    <t>• SessionID
• StackName</t>
  </si>
  <si>
    <t>• SessionID
• TerminalClass</t>
  </si>
  <si>
    <t>• PolicyName
• NewValue</t>
  </si>
  <si>
    <t>• ErrorCode
• MissingComponent</t>
  </si>
  <si>
    <t>Служба была установлена в системе. Классический аналог события 4697 из Security log, но фиксируется в журнале System.</t>
  </si>
  <si>
    <t>• Logon Type - тип входа
• Account Name - имя учетной записи
• Target Account - целевая учетная запись</t>
  </si>
  <si>
    <t>CachedInteractive</t>
  </si>
  <si>
    <t>CachedRemoteInteractive</t>
  </si>
  <si>
    <t>Нарушены ограничения учётной записи (например, время входа, рабочие станции)</t>
  </si>
  <si>
    <t>• Мониторинг множественных ошибок для разных имен пользователей
• Обнаружение username enumeration атак
• Корреляция с событиями сканирования</t>
  </si>
  <si>
    <t>• Пороговые правила для обнаружения brute-force
• Особое внимание к административным учетным записям
• Корреляция с географическими аномалиями</t>
  </si>
  <si>
    <t>• Базовый индикатор неудачных попыток входа
• Использовать в combination с другими кодами для точной диагностики</t>
  </si>
  <si>
    <t>• Мониторинг попыток входа в отключенные административные аккаунты
• Возможная подготовка к включению учетной записи злоумышленником
• Проверка, не была ли учетная запись недавно отключена</t>
  </si>
  <si>
    <t>• Критично для серверов и привилегированных учетных записей
• Индикатор атак в нерабочие часы
• Особое внимание к входам ночью и в выходные</t>
  </si>
  <si>
    <t>• Индикатор lateral movement или несанкционированного доступа
• Особое внимание к попыткам входа администраторов с рабочих станций пользователей</t>
  </si>
  <si>
    <t>• Нормальное событие для пользователей
• Подозрительно для сервисных аккаунтов (не должны истекать)
• Массовые истечения могут указывать на проблему с политиками</t>
  </si>
  <si>
    <t>• Трактуется аналогично 0xC000006E
• Зависит от версии Windows и конфигурации</t>
  </si>
  <si>
    <t>• Редкое событие, требует проверки
• Возможна попытка использования старой/удаленной учетной записи</t>
  </si>
  <si>
    <t>• Нормальное событие при принудительной смене пароля
• Не является индикатором атаки</t>
  </si>
  <si>
    <t>• Корреляция с событиями 4740 (блокировка учетной записи)
• Индикатор brute-force атак
• Особое внимание к блокировке административных аккаунтов</t>
  </si>
  <si>
    <t>• Проверить работу службы времени Windows
• Особенно критично для контроллеров домена
• Может приводить к сбоям аутентификации</t>
  </si>
  <si>
    <t>• Высокий приоритет расследования
• Может указывать на использование скомпрометированных ключей</t>
  </si>
  <si>
    <t>• Может быть связано с настройками constrained/unconstrained delegation
• Проверить конфигурацию SPN и делегирования</t>
  </si>
  <si>
    <t>• КРИТИЧЕСКИЙ индикатор AS-REP Roasting атаки
• Требует немедленного расследования
• Особое внимание к учетным записям с отключенной предаутентификацией</t>
  </si>
  <si>
    <t>• Часто указывает на рассинхронизацию времени между системами
• Может быть использовано в атаках (golden ticket со смещением времени)</t>
  </si>
  <si>
    <t>• Редкая ошибка, требует анализа
• Может указывать на сетевое вмешательство</t>
  </si>
  <si>
    <t>• Индикатор возможных манипуляций с Kerberos билетами
• Требует проверки целостности Kerberos инфраструктуры</t>
  </si>
  <si>
    <t>• Индикатор атак на NTLM (Pass-the-Hash подготовка)
• Мониторинг NTLM аутентификации для привилегированных аккаунтов
• Рассмотреть отключение NTLM где возможно</t>
  </si>
  <si>
    <t>• Аналогично Kerberos/обычной аутентификации
• Не является индикатором атаки</t>
  </si>
  <si>
    <t>• Индикатор NTLM brute-force атак
• Особенно критично, так как NTLM уязвим для перебора</t>
  </si>
  <si>
    <t>• Индикатор горизонтального перемещения или разведки
• Особое внимание к доступу к системным файлам и реестру
• Корреляция с другими событиями атаки</t>
  </si>
  <si>
    <t>• Может быть разведкой (enumeration файлов/ключей реестра)
• Особое внимание к повторяющимся попыткам</t>
  </si>
  <si>
    <t>• Аналогично STATUS_OBJECT_NAME_NOT_FOUND
• Может указывать на сканирование файловой системы</t>
  </si>
  <si>
    <t>• Может быть нормальной ситуацией
• Рассматривать в контексте других событий</t>
  </si>
  <si>
    <t>• Может быть индикатором эксплойтов или fuzzing
• Особое внимание к системным процессам с такими ошибками</t>
  </si>
  <si>
    <t>• Мониторинг системных ресурсов
• Корреляция с событиями высокой нагрузки</t>
  </si>
  <si>
    <t>• Может быть индикатором persistence попыток
• Особое внимание к автозагрузке (Run, RunOnce)</t>
  </si>
  <si>
    <t>• Может быть индикатором эксплойтов или повреждения реестра
• Требует анализа пути и процесса</t>
  </si>
  <si>
    <t>• Индикатор сканирования портов
• Мониторинг множественных попыток к разным портам</t>
  </si>
  <si>
    <t>• Может быть нормальным сетевым поведением
• Рассматривать в контексте других событий</t>
  </si>
  <si>
    <t>• Может быть связано с сетевыми проблемами или firewall правилами
• Анализ целевых адресов и портов</t>
  </si>
  <si>
    <t>• Может быть сканированием или попыткой подключения к несуществующим хостам
• Анализ patterns подключений</t>
  </si>
  <si>
    <t>• Индикатор попыток эскалации привилегий
• Особое внимание к процессам, запрашивающим SeDebugPrivilege, SeTcbPrivilege
• Корреляция с другими событиями атаки</t>
  </si>
  <si>
    <t>• Возможный индикатор эксплойтов или руткитов
• Высокий приоритет расследования
• Анализ процесса и родительского процесса</t>
  </si>
  <si>
    <t>• Классический индикатор эксплойтов (buffer overflow)
• Особое внимание к браузерам, офисным приложениям, PDF ридерам
• Высокий приоритет расследования</t>
  </si>
  <si>
    <t>• Индикатор возможного выполнения shellcode
• Анализ процесса и его происхождения
• Проверка цифровой подписи процесса</t>
  </si>
  <si>
    <t>• Может быть индикатором краш-тестов эксплойтов
• Анализ процессов с большим количеством открытых handles</t>
  </si>
  <si>
    <t>• Редкая ошибка, требует анализа
• Может быть связана с многопоточными атаками</t>
  </si>
  <si>
    <t>• Может быть индикатором fuzzing или эксплойтов
• Анализ командной строки процесса</t>
  </si>
  <si>
    <t>• Возможный индикатор эксплойтов (type confusion)
• Анализ процессов, манипулирующих объектами</t>
  </si>
  <si>
    <t>• Может быть нормальным завершением
• Рассматривать в контексте других ошибок</t>
  </si>
  <si>
    <t>• Может быть связано с атаками на named pipes или RPC
• Анализ использования межпроцессной коммуникации</t>
  </si>
  <si>
    <t>• Редкая ошибка, требует анализа
• Может быть связана с математическими эксплойтами</t>
  </si>
  <si>
    <t>• Рассматривать аналогично STATUS_FLOAT_OVERFLOW
• Анализ приложения и входных данных</t>
  </si>
  <si>
    <t>• Индикатор возможных переполнений буфера
• Высокий приоритет расследования</t>
  </si>
  <si>
    <t>• Высокий приоритет расследования
• Часто используется в эксплойтах для переполнения буфера
• Анализ процесса и его активности</t>
  </si>
  <si>
    <t>• Может быть индикатором DLL side-loading или hijacking
• Анализ пути поиска DLL и родительского процесса</t>
  </si>
  <si>
    <t>• Может быть индикатором поврежденных DLL или эксплойтов
• Анализ загружаемых DLL и их цифровых подписей</t>
  </si>
  <si>
    <t>• Может быть индикатором malicious DLL или конфликтов
• Проверка репутации и подписи DLL</t>
  </si>
  <si>
    <t>• Индикатор попыток persistence через службы
• Особое внимание к созданию/изменению служб
• Анализ процессов, пытающихся управлять службами</t>
  </si>
  <si>
    <t>• Может быть разведкой или попыткой persistence
• Анализ имен служб (поддельные имена, похожие на системные)</t>
  </si>
  <si>
    <t>• Может быть индикатором эксплойтов или persistence
• Анализ параметров создаваемой службы</t>
  </si>
  <si>
    <t>• Возможно повреждение диска или malicious активность
• Требует восстановления из backup
• Проверить целостность системных файлов</t>
  </si>
  <si>
    <t>• Немедленное расследование
• Может быть вызвано драйверами, аппаратными сбоями или rootkit
• Анализ дампа памяти</t>
  </si>
  <si>
    <t>• Возможный индикатор rootkit или повреждения системы
• Проверить цифровые подписи файлов
• Сканировать на наличие malware</t>
  </si>
  <si>
    <t>• Индикатор попыток несанкционированного удаленного выполнения
• Особое внимание к административным RPC интерфейсам</t>
  </si>
  <si>
    <t>• Может быть сканированием RPC сервисов
• Индикатор lateral movement через RPC
• Анализ исходных и целевых систем</t>
  </si>
  <si>
    <t>• Может быть индикатором WMI-based атак
• Анализ WQL запросов и потребителей
• Особое внимание к созданию event subscriptions</t>
  </si>
  <si>
    <t>• Индикатор попыток WMI lateral movement
• Мониторинг WMI активности из нетипичных источников</t>
  </si>
  <si>
    <t>• Анализ деталей аутентификации
• Может быть связано с сертификатами, токенами или политиками</t>
  </si>
  <si>
    <t>Ограничения учётной записи (время входа, рабочие станции, тип входа)</t>
  </si>
  <si>
    <t>Политика ограничивает вход учётной записи</t>
  </si>
  <si>
    <t>Рекомендации по мониторингу (планируется)</t>
  </si>
  <si>
    <t>Пример SIEM-запроса (планируется)</t>
  </si>
  <si>
    <t>T1071, T1573, T1095</t>
  </si>
  <si>
    <t>SPL-шаблон</t>
  </si>
  <si>
    <t>Корреляции</t>
  </si>
  <si>
    <t>index=wineventlog EventCode=4624 Logon_Type IN (2,3,10)
| stats count values(IpAddress) AS src_ips by Account_Name, Logon_Type, host
| where count&gt;5</t>
  </si>
  <si>
    <t>4625 (неудачные попытки перед 4624 = brute-force)
4634/4647 (выход)
4672 (привилегированный вход)
4769 (Kerberos TGS для сетевых входов)</t>
  </si>
  <si>
    <t>index=wineventlog EventCode=4625
| stats count dc(Account_Name) AS unique_users values(IpAddress) AS src_ips by host, Sub_Status
| where count&gt;10</t>
  </si>
  <si>
    <t>4740 (lockout после серии 4625)
4771 (Kerberos pre-auth fail)
4624 (успех после серии 4625 = возможный взлом)</t>
  </si>
  <si>
    <t>index=wineventlog EventCode=4688 
  (New_Process_Name="*\\powershell.exe" OR New_Process_Name="*\\cmd.exe" OR New_Process_Name="*\\wmic.exe")
| eval susp=if(match(Process_Command_Line,"(?i)(-enc|frombase64|downloadstring|iex|invoke-expression)"),1,0)
| where susp=1</t>
  </si>
  <si>
    <t>4689 (завершение процесса)
4648 (logon с explicit credentials)
4104 (PowerShell script block)
4697 / 7045 (установка службы)</t>
  </si>
  <si>
    <t>index=wineventlog EventCode=1102
| table _time, host, SubjectUserName, SubjectDomainName</t>
  </si>
  <si>
    <t>104 (очистка журнала System)
1100 (служба журнала остановлена)
4719 (изменение политики аудита перед очисткой)</t>
  </si>
  <si>
    <t>index=wineventlog source="WinEventLog:Microsoft-Windows-PowerShell/Operational" EventCode=4104
| eval susp=if(match(ScriptBlockText,"(?i)(invoke-mimikatz|frombase64|downloadstring|iex |amsi|reflection.assembly)"),1,0)
| where susp=1</t>
  </si>
  <si>
    <t>4103 (PowerShell pipeline)
4688 (запуск powershell.exe)
4624 LogonType=3 (сетевой вызов PS)
400/600 (PowerShell engine в Windows PowerShell log)</t>
  </si>
  <si>
    <t>index=wineventlog source="*TerminalServices-RemoteConnectionManager*" EventCode=1149
| stats count values(Param3) AS src_ip by Param1, host</t>
  </si>
  <si>
    <t>4624 LogonType=10 (интерактивный RDP)
4778 (RDP session reconnect)
21/22/25 (LocalSessionManager events)</t>
  </si>
  <si>
    <t>index=wineventlog EventCode=4698
| eval susp=if(match(Task_Content,"(?i)(powershell|cmd|wscript|cscript|rundll32|mshta)"),1,0)
| where susp=1
| table _time, host, Subject_User_Name, Task_Name, Task_Content</t>
  </si>
  <si>
    <t>4700/4701 (вкл/выкл задачи)
4702 (изменение задачи)
106 и 200/201 (Task Scheduler/Operational)
4688 (запуск процесса из задачи)</t>
  </si>
  <si>
    <t>index=wineventlog EventCode=5140 Share_Name IN ("\\\\*\\ADMIN$","\\\\*\\C$","\\\\*\\IPC$")
| stats count values(Source_Address) AS src_ips by Account_Name, Share_Name, host</t>
  </si>
  <si>
    <t>5145 (проверка доступа к share)
4624 LogonType=3 (сетевой вход)
4672 (привилегии при входе)
4688 (запуск утилит либо psexec)</t>
  </si>
  <si>
    <t>index=wineventlog EventCode=4657 
  Object_Name IN ("*\\Run\\*","*\\RunOnce\\*","*\\Image File Execution Options\\*","*\\AppInit_DLLs*")
| table _time, host, Subject_User_Name, Object_Name, Old_Value, New_Value, Process_Name</t>
  </si>
  <si>
    <t>4656/4663 (доступ к объекту реестра)
4688 (процесс, изменивший ключ)
Sysmon 12/13 (registry add/set)</t>
  </si>
  <si>
    <t>index=wineventlog EventCode=4946
| table _time, host, Rule_Name, Profile, Action, Application_Path, Subject_User_Name</t>
  </si>
  <si>
    <t>4947 (изменение правила)
4948 (удаление правила)
4950 (изменение настроек брандмауэра)
4688 (netsh advfirewall)</t>
  </si>
  <si>
    <t>index=wineventlog EventCode=4782
| stats count values(Process_Name) AS procs by Account_Name, host, Subject_User_Name
| where count&gt;3</t>
  </si>
  <si>
    <t>4662 (доступ к DS объекту с GUID DRSGetNCChanges = DCSync)
4624 LogonType=3 от КД
4688 (mimikatz, ntdsutil, secretsdump)</t>
  </si>
  <si>
    <t>index=wineventlog EventCode=4776 Status!=0x0
| stats count values(Workstation) AS workstations by TargetUserName, Status
| where count&gt;10</t>
  </si>
  <si>
    <t>4625 (общий fail logon)
4624 LogonType=3 (сетевой)
4740 (lockout)
8004 (NTLM logging)</t>
  </si>
  <si>
    <t>index=wineventlog EventCode=4720
| table _time, host, Subject_User_Name, Target_User_Name, Target_Domain_Name, SAM_Account_Name</t>
  </si>
  <si>
    <t>4722 (включение учётки)
4724 (сброс пароля)
4728/4732 (добавление в группу)
4738 (изменение атрибутов) — классическая цепочка создания backdoor-аккаунта</t>
  </si>
  <si>
    <t>index=wineventlog EventCode=4697
| eval susp=if(match(Service_File_Name,"(?i)(\\\\Temp\\\\|\\\\AppData\\\\|powershell|cmd\\.exe|\\.bat|\\.vbs)"),1,0)
| where susp=1</t>
  </si>
  <si>
    <t>7045 (аналог в System log)
4688 (sc.exe, services.exe)
4624 LogonType=3 + 5140 (служба создана удалённо — lateral movement)</t>
  </si>
  <si>
    <t>index=wineventlog EventCode=4672
| stats count values(Privilege_List) AS privs by Account_Name, host
| where count&lt;5</t>
  </si>
  <si>
    <t>4624 (вход, порождающий 4672)
4673/4674 (использование привилегий)
4688 с Token Elevation Type 1 (полный токен)</t>
  </si>
  <si>
    <t>index=wineventlog EventCode=5156 Destination_Port IN (4444,8080,8443,1080,9001)
| stats count by Application_Name, Destination_Address, Destination_Port, host</t>
  </si>
  <si>
    <t>5157 (блокировка подключения)
5152/5154 (WFP блок/listen)
4688 (процесс, создавший соединение)
Sysmon 3 (network connection)</t>
  </si>
  <si>
    <t>index=wineventlog source="*PowerShell/Operational" EventCode=4103
  HostApplication="*-enc*" OR Payload="*Invoke-*"
| table _time, host, User, HostApplication, Payload</t>
  </si>
  <si>
    <t>4104 (script block, основное)
4105/4106 (начало/окончание скрипта)
400/600 (Windows PowerShell log)</t>
  </si>
  <si>
    <t>index=wineventlog EventCode=4634
| stats min(_time) AS start_time max(_time) AS end_time by Target_Logon_ID, Target_User_Name
| eval duration_sec=end_time-start_time</t>
  </si>
  <si>
    <t>4624 (вход — пара по Logon_ID)
4647 (явный logoff)
4779 (RDP disconnect)</t>
  </si>
  <si>
    <t>index=wineventlog EventCode=4699
| table _time, host, Subject_User_Name, Task_Name, Task_Content</t>
  </si>
  <si>
    <t>4698 (создание задачи)
4702 (изменение задачи)
141 (Task Scheduler/Operational)</t>
  </si>
  <si>
    <t>index=wineventlog EventCode=5145 
  Share_Name IN ("\\\\*\\ADMIN$","\\\\*\\C$")
| stats count dc(Source_Address) AS unique_src by Account_Name
| where unique_src&gt;1</t>
  </si>
  <si>
    <t>5140 (фактический доступ)
4624 LogonType=3
4688 (net.exe, psexec.exe)</t>
  </si>
  <si>
    <t>index=wineventlog EventCode=4740
| table _time, host, Account_Name, Caller_Computer_Name, Subject_User_Name</t>
  </si>
  <si>
    <t>4625 (серия неудачных входов до lockout)
4771 (Kerberos pre-auth fail)
4767 (разблокировка)</t>
  </si>
  <si>
    <t>index=wineventlog EventCode=4726
| table _time, host, Subject_User_Name, Target_User_Name, Target_Domain_Name</t>
  </si>
  <si>
    <t>4720 (создание — если жизненный цикл backdoor: создал → использовал → удалил)
4624/4634 по этой учётке перед удалением</t>
  </si>
  <si>
    <t>index=wineventlog EventCode=4768 (Ticket_Encryption_Type=0x17 OR Ticket_Encryption_Type=0x18)
| stats count by Account_Name, Client_Address, Service_Name</t>
  </si>
  <si>
    <t>4769 (TGS после TGT)
4771 (неудачный TGT — возможный AS-REP roast)
Sub_Status 0x18 (bad password)</t>
  </si>
  <si>
    <t>index=wineventlog EventCode=4648
  NOT (Account_Whose_Credentials_Were_Used="*$")
| table _time, host, Subject_User_Name, Account_Whose_Credentials_Were_Used, Target_Server_Name, Process_Name</t>
  </si>
  <si>
    <t>4624 LogonType=9 (NewCredentials — пара к 4648)
4688 (runas.exe, psexec.exe)
5140/5145 (использование новых кредов)</t>
  </si>
  <si>
    <t>index=wineventlog EventCode=4769 
  Ticket_Encryption_Type=0x17 
  Service_Name!="*$" Service_Name!="krbtgt"
| stats count values(Client_Address) AS src by Account_Name, Service_Name
| where count&gt;2</t>
  </si>
  <si>
    <t>4768 (TGT)
4624 LogonType=3
4688 (Rubeus, Invoke-Kerberoast) — характерная Kerberoasting-цепочка</t>
  </si>
  <si>
    <t>index=wineventlog EventCode=4725
| table _time, host, Subject_User_Name, Target_User_Name</t>
  </si>
  <si>
    <t>4724 (сброс пароля до отключения)
4726 (удаление)
4625 с 0xC0000072 (попытки войти в отключённую учётку)</t>
  </si>
  <si>
    <t>index=wineventlog EventCode=4724
| stats count by Subject_User_Name, Target_User_Name, host
| where Subject_User_Name!=Target_User_Name</t>
  </si>
  <si>
    <t>4723 (смена своего пароля — отличать от 4724)
4738 (изменение атрибутов)
4624 по целевой учётке после 4724</t>
  </si>
  <si>
    <t>index=wineventlog EventCode=4722
| table _time, host, Subject_User_Name, Target_User_Name</t>
  </si>
  <si>
    <t>4720 (создание)
4725 (предыдущее отключение)
4724 (сброс пароля)</t>
  </si>
  <si>
    <t>index=wineventlog EventCode=4728
  Group_Name IN ("Domain Admins","Enterprise Admins","Schema Admins")
| table _time, host, Subject_User_Name, Member_Name, Group_Name</t>
  </si>
  <si>
    <t>4729 (удаление из группы)
4732 (добавление в локальную группу)
4624 LogonType=10 (RDP как Domain Admin)</t>
  </si>
  <si>
    <t>index=wineventlog EventCode=4729
| table _time, host, Subject_User_Name, Member_Name, Group_Name</t>
  </si>
  <si>
    <t>4728 (предшествующее добавление)
4726 (удаление учётки)
4733 (удаление из локальной группы)</t>
  </si>
  <si>
    <t>index=wineventlog EventCode=4732 Group_Name="Administrators"
| table _time, host, Subject_User_Name, Member_SID, Group_Name</t>
  </si>
  <si>
    <t>4733 (удаление из локальной группы)
4728 (добавление в глобальную)
4624 LogonType=10/2 + 4672</t>
  </si>
  <si>
    <t>index=wineventlog EventCode=4689
| stats min(_time) AS start max(_time) AS end by host, Process_ID, New_Process_Name
| eval duration_sec=end-start</t>
  </si>
  <si>
    <t>4688 (пара по Process ID)
Sysmon 5 (process terminated)</t>
  </si>
  <si>
    <t>index=wineventlog EventCode=4702
| table _time, host, Subject_User_Name, Task_Name, Task_New_Content</t>
  </si>
  <si>
    <t>4698 (создание задачи)
4699 (удаление)
4700/4701 (вкл/выкл)</t>
  </si>
  <si>
    <t>index=wineventlog EventCode=4656
  Object_Name IN ("*\\SAM","*\\SECURITY","*\\SYSTEM","*\\lsass.exe")
  Access_Mask="0x*"
| table _time, host, Process_Name, Object_Name, Accesses</t>
  </si>
  <si>
    <t>4663 (фактический доступ после 4656)
4660 (удаление)
4674 (использование привилегии)</t>
  </si>
  <si>
    <t>index=wineventlog EventCode=4663 Accesses="*WriteData*" OR Accesses="*DELETE*"
| table _time, host, Process_Name, Object_Name, Accesses, Subject_User_Name</t>
  </si>
  <si>
    <t>4656 (запрос handle)
4660 (удаление)
4670 (изменение разрешений)</t>
  </si>
  <si>
    <t>index=wineventlog EventCode=4662 
  Properties="*1131f6aa-9c07-11d1-f79f-00c04fc2dcd2*" OR Properties="*1131f6ad-9c07-11d1-f79f-00c04fc2dcd2*" OR Properties="*89e95b76-444d-4c62-991a-0facbeda640c*"
| table _time, host, Subject_User_Name, Object_Name, Properties</t>
  </si>
  <si>
    <t>4624 LogonType=3 от КД (DCSync)
4742 (изменение объекта AD)
4782 (доступ к хешу)</t>
  </si>
  <si>
    <t>index=wineventlog EventCode=4673
| stats count by Process_Name, Privilege_List, host
| where count&gt;50</t>
  </si>
  <si>
    <t>4672 (привилегированный вход)
4674 (операция над объектом)
4688 (процесс, вызвавший операцию)</t>
  </si>
  <si>
    <t>index=wineventlog EventCode=4608
| stats count by host, _time</t>
  </si>
  <si>
    <t>6005 (Event Log service started — System log)
4609 (Windows shutting down)
1100/1101</t>
  </si>
  <si>
    <t>index=wineventlog EventCode=4616
  NOT Process_Name="*\\svchost.exe" NOT Process_Name="*\\VBoxService.exe"
| table _time, host, Subject_User_Name, Process_Name, Previous_Time, New_Time</t>
  </si>
  <si>
    <t>4688 (процесс, изменивший время)
4768/4769 с KRB_AP_ERR_SKEW (clock skew)
1 и 158 (W32time Service)</t>
  </si>
  <si>
    <t>index=wineventlog EventCode=4947
| table _time, host, Subject_User_Name, Rule_Name, Modified_Fields</t>
  </si>
  <si>
    <t>4946/4948 (добавление/удаление правил)
4950 (изменение настроек)
4688 (netsh advfirewall)</t>
  </si>
  <si>
    <t>index=wineventlog EventCode=5157
| stats count by Application_Name, Destination_Address, Destination_Port
| where count&gt;100</t>
  </si>
  <si>
    <t>5156 (разрешённые подключения)
5152 (WFP блокировка пакета)
4946 (добавление правила)</t>
  </si>
  <si>
    <t>index=wineventlog EventCode=4778
| stats count values(Client_Address) AS src by Account_Name, host</t>
  </si>
  <si>
    <t>4779 (RDP disconnect)
4624 LogonType=10
1149 (успех RDP-аутентификации)</t>
  </si>
  <si>
    <t>index=wineventlog EventCode=4779
| stats count by Account_Name, Client_Address, host</t>
  </si>
  <si>
    <t>4778 (reconnect)
4634 (выход)
24 (LocalSessionManager disconnect)</t>
  </si>
  <si>
    <t>index=wineventlog EventCode=4800
| stats values(host) AS hosts by Account_Name
| where mvcount(hosts)&gt;3</t>
  </si>
  <si>
    <t>4801 (разблокировка)
4624 LogonType=7 (Unlock)
4634 нет (сессия не завершена)</t>
  </si>
  <si>
    <t>index=wineventlog EventCode=4801
| table _time, host, Account_Name, Session_ID</t>
  </si>
  <si>
    <t>4800 (блокировка)
4624 LogonType=7
4625 перед 4801 (подбор пароля на консоли)</t>
  </si>
  <si>
    <t>index=wineventlog EventCode=4771 Failure_Code=0x18
| stats count by Account_Name, Client_Address
| where count&gt;5</t>
  </si>
  <si>
    <t>4768 (TGT)
4625 (общий fail logon)
4740 (lockout)
Failure 0x6 = AS-REP roasting indicator</t>
  </si>
  <si>
    <t>index=wineventlog EventCode=4767
| table _time, host, Subject_User_Name, Target_User_Name</t>
  </si>
  <si>
    <t>4740 (блокировка до разблокировки)
4625 после 4767 (быстрый повтор атаки)
4724 (сброс пароля)</t>
  </si>
  <si>
    <t>index=wineventlog EventCode=4738
  Account_Expires="&lt;never&gt;" OR Password_Last_Set="&lt;never&gt;"
| table _time, host, Subject_User_Name, Target_User_Name, Account_Expires, Password_Last_Set, User_Account_Control</t>
  </si>
  <si>
    <t>4720 (создание)
4724 (сброс пароля)
4781 (изменение имени)</t>
  </si>
  <si>
    <t>index=wineventlog EventCode=4754
  Group_Name IN ("Domain Admins","Enterprise Admins")
| table _time, host, Subject_User_Name, Group_Name</t>
  </si>
  <si>
    <t>4755 (изменение)
4758 (удаление)
4756 (добавление члена)</t>
  </si>
  <si>
    <t>index=wineventlog EventCode=4755
| table _time, host, Subject_User_Name, Group_Name, Changed_Attributes</t>
  </si>
  <si>
    <t>4754 (создание)
4756/4757 (добавление/удаление членов)</t>
  </si>
  <si>
    <t>index=wineventlog EventCode=4670
  Object_Type IN ("Key","File")
| table _time, host, Subject_User_Name, Object_Name, Process_Name, Old_Security_Descriptor, New_Security_Descriptor</t>
  </si>
  <si>
    <t>4656/4663 (доступ к объекту)
4674 (использование SeTakeOwnership)
4688 (процесс, изменивший ACL)</t>
  </si>
  <si>
    <t>index=wineventlog EventCode=4912
| table _time, host, Subject_User_Name, Category, Subcategory, Changes</t>
  </si>
  <si>
    <t>4719 (изменение политики аудита)
4902/4904/4905 (политики аудита)
4688 (auditpol.exe)</t>
  </si>
  <si>
    <t>index=wineventlog EventCode=4715
| table _time, host, Subject_User_Name, Object_Name, Old_SACL, New_SACL</t>
  </si>
  <si>
    <t>4719 (audit policy change)
4670 (DACL change)
4717/4718 (права входа)</t>
  </si>
  <si>
    <t>index=wineventlog EventCode=4704
| stats count by Subject_User_Name, Target_User_Name, Privilege_List, host</t>
  </si>
  <si>
    <t>4705 (отзыв прав)
4672 (использование привилегии после назначения)
4717 (разница: 4717 — права входа, 4704 — все привилегии)</t>
  </si>
  <si>
    <t>index=wineventlog EventCode=4719
| table _time, host, Subject_User_Name, Category, Subcategory, Changes</t>
  </si>
  <si>
    <t>4912 (изменение per-user audit)
1102 (очистка журнала)
4688 (auditpol.exe /clear)</t>
  </si>
  <si>
    <t>index=wineventlog EventCode=4798
  NOT Caller_Process_Name="*\\lsass.exe" NOT Caller_Process_Name="*\\svchost.exe"
| stats count values(Caller_Process_Name) AS callers by Subject_User_Name, Target_User_Name
| where count&gt;20</t>
  </si>
  <si>
    <t>4799 (перечисление групп)
4688 (net.exe, whoami /groups, AdFind)</t>
  </si>
  <si>
    <t>index=wineventlog EventCode=4799
  Group_Name IN ("Administrators","Domain Admins","Enterprise Admins")
  NOT Caller_Process_Name="*\\lsass.exe"
| table _time, host, Caller_Process_Name, Subject_User_Name, Group_Name</t>
  </si>
  <si>
    <t>4798 (перечисление групп пользователя)
4688 (net localgroup, BloodHound)</t>
  </si>
  <si>
    <t>index=wineventlog EventCode=5136
  LDAP_Display_Name IN ("servicePrincipalName","msDS-AllowedToActOnBehalfOfOtherIdentity","msDS-AllowedToDelegateTo")
| table _time, host, Subject_User_Name, Object_DN, LDAP_Display_Name, Value, Operation</t>
  </si>
  <si>
    <t>5137 (создание объекта)
4742 (изменение компьютера)
Kerberos delegation abuse = 4768/4769 + 5136</t>
  </si>
  <si>
    <t>index=wineventlog EventCode=5137
| table _time, host, Subject_User_Name, Object_DN, Object_Class</t>
  </si>
  <si>
    <t>5136 (изменение)
5138 (undelete)
5139 (перемещение)</t>
  </si>
  <si>
    <t>index=wineventlog EventCode=5138
| table _time, host, Subject_User_Name, Object_DN</t>
  </si>
  <si>
    <t>5136 (восстановление изменяет атрибуты)
5141 (удаление после undelete)</t>
  </si>
  <si>
    <t>index=wineventlog EventCode=5142
| table _time, host, Subject_User_Name, Share_Name, Share_Path</t>
  </si>
  <si>
    <t>5140/5145 (доступ к созданной папке)
5143 (изменение share)
5144 (удаление share)</t>
  </si>
  <si>
    <t>index=wineventlog EventCode=4703
  Enabled_Privileges="*SeDebugPrivilege*" OR Enabled_Privileges="*SeTcbPrivilege*"
| stats count by Subject_User_Name, Target_Process_Name, Enabled_Privileges</t>
  </si>
  <si>
    <t>4673/4674 (использование привилегии)
4624 + 4672 (привилегированный вход)
4688 с Token Elevation Type 1</t>
  </si>
  <si>
    <t>Не применимо (устаревший ID в Win2000-Win2003, в современных OS заменён на 4648)</t>
  </si>
  <si>
    <t>4648 (современный эквивалент в Win2008+)</t>
  </si>
  <si>
    <t>index=wineventlog EventCode=5152
| stats count by Application_Name, Destination_Address, Destination_Port
| where count&gt;50</t>
  </si>
  <si>
    <t>5157 (block by Filtering Platform)
5156 (разрешённые)
4946 (firewall rule add)</t>
  </si>
  <si>
    <t>index=wineventlog EventCode=4660
  Object_Name IN ("*\\Windows\\System32\\*","*\\Windows\\SysWOW64\\*","*\\Logs\\*")
| table _time, host, Process_Name, Object_Name, Subject_User_Name</t>
  </si>
  <si>
    <t>4656 (handle request с DELETE)
4663 (фактический DELETE)
Sysmon 23/26 (FileDelete)</t>
  </si>
  <si>
    <t>index=wineventlog EventCode=4904
| table _time, host, Process_Name, Source_Name</t>
  </si>
  <si>
    <t>4905 (отмена регистрации source)
4906 (изменение CrashOnAuditFail)</t>
  </si>
  <si>
    <t>index=wineventlog EventCode=4906
| table _time, host, Subject_User_Name, Old_Value, New_Value</t>
  </si>
  <si>
    <t>1102 (очистка журнала)
4719 (изменение политики аудита)
4904/4905 (source policy)</t>
  </si>
  <si>
    <t>index=wineventlog EventCode=4907
  Object_Type IN ("Key","File")
| table _time, host, Subject_User_Name, Object_Name, Old_SACL, New_SACL</t>
  </si>
  <si>
    <t>4715 (аналог в W2K3)
4670 (DACL change)
4663 (фактический доступ к объекту)</t>
  </si>
  <si>
    <t>index=wineventlog source="*TerminalServices-RemoteConnectionManager*" EventCode=261
| stats count by Source_Network_Address
| where count&gt;20</t>
  </si>
  <si>
    <t>1149 (успешная аутентификация)
4624 LogonType=10
140 (RDP Client side)</t>
  </si>
  <si>
    <t>index=wineventlog source="*TerminalServices-RemoteConnectionManager*" EventCode=258</t>
  </si>
  <si>
    <t>1149 (аутентификация)
261 (listener started)</t>
  </si>
  <si>
    <t>index=wineventlog source="*TerminalServices-RemoteConnectionManager*" EventCode=263</t>
  </si>
  <si>
    <t>Служебное событие RDP — без прямых корреляций для SOC</t>
  </si>
  <si>
    <t>index=wineventlog source="*TerminalServices-LocalSessionManager*" EventCode=1155</t>
  </si>
  <si>
    <t>Служебное событие (оптимизация GPU) — без корреляций</t>
  </si>
  <si>
    <t>index=wineventlog source="*RemoteDesktopServices*" EventCode=20523</t>
  </si>
  <si>
    <t>Информационное событие RDS — без SOC-корреляций</t>
  </si>
  <si>
    <t>index=wineventlog source="*RemoteDesktopServices-RemoteFX*" EventCode=1143</t>
  </si>
  <si>
    <t>Информационное событие RemoteFX</t>
  </si>
  <si>
    <t>index=wineventlog source="*RemoteDesktopServices-RdpCoreTS*" EventCode=1136</t>
  </si>
  <si>
    <t>Ошибка конфигурации RDS — диагностика, не SOC</t>
  </si>
  <si>
    <t>index=wineventlog EventCode=4611
  NOT Logon_Process_Name IN ("User32","Advapi  ","IKE","Schannel","Negotiat","Kerberos","NTLM\u0020\u0020\u0020\u0020")
| table _time, host, Logon_Process_Name, Subject_User_Name</t>
  </si>
  <si>
    <t>4624 (вход, выполненный этим процессом)
4697/7045 (установка службы)
4688 (вызвавший процесс)</t>
  </si>
  <si>
    <t>index=wineventlog EventCode=4665
| table _time, host, Subject_User_Name, Application_Name</t>
  </si>
  <si>
    <t>4674 (использование привилегии)
4688 (процесс Authorization Manager)</t>
  </si>
  <si>
    <t>index=wineventlog EventCode=4690
  Source_Process_Name!=Target_Process_Name
| table _time, host, Source_Process_Name, Target_Process_Name, Subject_User_Name</t>
  </si>
  <si>
    <t>4688 (оба процесса)
4656/4663 (доступ к процессу)
4696 (присвоение token)
Sysmon 10 (process accessed)</t>
  </si>
  <si>
    <t>index=wineventlog EventCode=4696
  NOT (Subject_User_Name="SYSTEM" Target_User_Name="SYSTEM")
| table _time, host, Subject_User_Name, Target_Process_Name, New_Token_Information</t>
  </si>
  <si>
    <t>4624 LogonType=9 (NewCredentials)
4648 (explicit creds)
4688 (runas, psexec)</t>
  </si>
  <si>
    <t>index=wineventlog EventCode=4723 
  Subject_User_Name!=Target_User_Name
| table _time, host, Subject_User_Name, Target_User_Name, Status</t>
  </si>
  <si>
    <t>4724 (сброс пароля админом — отличать)
4625 (до смены)
4624 (после смены)</t>
  </si>
  <si>
    <t>index=wineventlog EventCode=4897
| table _time, host, Subject_User_Name, Loaded_Templates</t>
  </si>
  <si>
    <t>4899 (изменение конфигурации CA)
4886 (получение сертификата)
ADCS attacks — выдача сертификатов (4886/4887)</t>
  </si>
  <si>
    <t>index=wineventlog EventCode=4626
| stats count values(User_Claims) AS uc by Subject_User_Name, host
| where count&gt;50</t>
  </si>
  <si>
    <t>4624 (вход по Logon_ID)
4627 (членство в группах того же входа)</t>
  </si>
  <si>
    <t>index=wineventlog EventCode=4627 
  Group_Membership="*S-1-5-32-544*" OR Group_Membership="*Domain Admins*"
| table _time, host, Subject_User_Name, Logon_ID, Group_Membership</t>
  </si>
  <si>
    <t>4624 (вход, парный по Logon_ID)
4672 (выдача привилегий)</t>
  </si>
  <si>
    <t>index=wineventlog EventCode=4674
  Privileges IN ("SeDebugPrivilege","SeBackupPrivilege","SeRestorePrivilege","SeTcbPrivilege")
  NOT Subject_User_Name="SYSTEM"
| stats count by Subject_User_Name, Process_Name, Privileges</t>
  </si>
  <si>
    <t>4672 (привилегированный вход)
4673 (использование привилегии)
4703 (token privileges adjusted)
4688 (процесс, использующий привилегию)</t>
  </si>
  <si>
    <t>index=wineventlog EventCode=4717
  Access_Right IN ("SeRemoteInteractiveLogonRight","SeServiceLogonRight")
| table _time, host, Subject_User_Name, Target_Account, Access_Right</t>
  </si>
  <si>
    <t>4718 (отзыв прав)
4704 (назначение привилегий — более широко)
4624 LogonType из новых прав</t>
  </si>
  <si>
    <t>index=wineventlog EventCode=4718
| table _time, host, Subject_User_Name, Target_Account, Access_Right</t>
  </si>
  <si>
    <t>4717 (назначение прав — парное)
4625 с 0xC0000070 (отказ входа после отзыва)
4738 (изменение учётки)</t>
  </si>
  <si>
    <t>index=wineventlog EventCode=4733 Target_Group_Name="Administrators"
| table _time, host, Subject_User_Name, Member_Name, Group_Name</t>
  </si>
  <si>
    <t>4732 (добавление)
4729 (удаление из глобальной)
4726 (удаление учётки)</t>
  </si>
  <si>
    <t>index=wineventlog EventCode=4741
  NOT Subject_User_Name="*$"
| table _time, host, Subject_User_Name, New_Computer_Account, SAM_Account_Name</t>
  </si>
  <si>
    <t>4743 (удаление)
4742 (изменение)
5136 (изменение atributes computer object — RBCD attack)</t>
  </si>
  <si>
    <t>index=wineventlog EventCode=4743
| table _time, host, Subject_User_Name, Target_Account_Name</t>
  </si>
  <si>
    <t>4741 (создание)
4742 (последнее изменение перед удалением)</t>
  </si>
  <si>
    <t>index=wineventlog EventCode=4794
| table _time, host, Subject_User_Name, Workstation, Status</t>
  </si>
  <si>
    <t>4688 (ntdsutil.exe)
4624 LogonType=2/10 на КД
1102 сразу после 4794</t>
  </si>
  <si>
    <t>index=wineventlog EventCode=4816
| stats count by Client_Address, SecurityError
| where count&gt;100</t>
  </si>
  <si>
    <t>5156/5157 (сетевые события)
Системные события System log (DistributedCOM)</t>
  </si>
  <si>
    <t>index=wineventlog EventCode=1101
| stats sum(Dropped_Events) AS total_dropped by host</t>
  </si>
  <si>
    <t>1104 (переполнение)
1108 (ошибка EventLog)
104 (System log clear)</t>
  </si>
  <si>
    <t>index=wineventlog EventCode=1104
| table _time, host, Channel</t>
  </si>
  <si>
    <t>1101 (dropped events)
1102 (очистка)
1105 (авто-бэкап)</t>
  </si>
  <si>
    <t>index=wineventlog EventCode=1105
| table _time, host, Backup_Path, Channel</t>
  </si>
  <si>
    <t>1104 (переполнение)
1101 (dropped events)</t>
  </si>
  <si>
    <t>index=wineventlog EventCode=1108
| stats count by host, Error_Code</t>
  </si>
  <si>
    <t>1100 (служба журнала остановлена)
1102 (очистка)
6281 (Code Integrity)</t>
  </si>
  <si>
    <t>index=wineventlog EventCode=4609
| table _time, host, _time</t>
  </si>
  <si>
    <t>4608 (запуск Windows)
6005/6006 (Event Log started/stopped — System log)
6008 (unexpected shutdown)</t>
  </si>
  <si>
    <t>index=wineventlog EventCode=4647
| stats min(_time) AS start by Target_Logon_ID
| join Target_Logon_ID [search EventCode=4624 | stats min(_time) AS logon by Target_Logon_ID]
| eval duration=start-logon</t>
  </si>
  <si>
    <t>4624 (вход по Logon_ID)
4634 (автоматический logoff)
4779 (RDP disconnect)</t>
  </si>
  <si>
    <t>index=wineventlog EventCode=4700
  NOT Subject_User_Name="SYSTEM"
| table _time, host, Subject_User_Name, Task_Name</t>
  </si>
  <si>
    <t>4701 (отключение)
4698 (создание задачи)
4702 (изменение)</t>
  </si>
  <si>
    <t>index=wineventlog EventCode=4701
  Task_Name IN ("*\\Microsoft\\Windows\\Defender\\*","*\\Microsoft\\Windows\\Backup\\*","*EDR*")
| table _time, host, Subject_User_Name, Task_Name</t>
  </si>
  <si>
    <t>4700 (включение)
4699 (удаление)
4688 (schtasks.exe /Change /DISABLE)</t>
  </si>
  <si>
    <t>index=wineventlog EventCode=4902
| stats count by host, _time
| where count&gt;1</t>
  </si>
  <si>
    <t>4904/4905 (registration source)
4719 (audit policy change)
4612 (per-user audit policy table)</t>
  </si>
  <si>
    <t>index=wineventlog (source="WinEventLog:System" EventCode=7045)
| eval susp=if(match(Service_File_Name,"(?i)(\\\\Temp\\\\|\\\\AppData\\\\|powershell|cmd\\.exe|psexec)"),1,0)
| where susp=1</t>
  </si>
  <si>
    <t>4697 (аналог в Security log)
4624 LogonType=3 + 5140 (удалённая установка)
4688 (sc.exe, services.exe)</t>
  </si>
  <si>
    <t>5157 (block by Filtering Platform — более подробный)
5156 (разрешённые подключения)
4946 (firewall rule add)
Sysmon 3 (сетевые соединения)</t>
  </si>
  <si>
    <t>index=sysmon source="WinEventLog:Microsoft-Windows-Sysmon/Operational" EventCode=1
  (Image="*\\powershell.exe" OR Image="*\\cmd.exe" OR Image="*\\wmic.exe" OR Image="*\\rundll32.exe" OR Image="*\\mshta.exe")
| eval susp=if(match(CommandLine,"(?i)(-enc|frombase64|downloadstring|iex)"),1,0)
| where susp=1</t>
  </si>
  <si>
    <t>Sysmon 5 (process terminated)
4688 (Security аналог)
Sysmon 3 (network connection от процесса)
Sysmon 7 (DLL loaded)</t>
  </si>
  <si>
    <t>index=sysmon EventCode=2
  NOT Image IN ("*\\setup.exe","*\\msiexec.exe")
| table _time, host, Image, TargetFilename, PreviousCreationUtcTime, CurrentCreationUtcTime</t>
  </si>
  <si>
    <t>Sysmon 11 (file created)
Sysmon 23 (file deleted)
4663 (Security file access)</t>
  </si>
  <si>
    <t>index=sysmon EventCode=3 
  DestinationPort IN (4444,8080,8443,1080,9001,53)
  NOT Image="*\\svchost.exe"
| stats count by Image, DestinationIp, DestinationPort, host</t>
  </si>
  <si>
    <t>Sysmon 22 (DNS query от того же процесса)
5156/5157 (Security WFP)
Sysmon 1 (создание процесса)</t>
  </si>
  <si>
    <t>index=sysmon EventCode=4
| table _time, host, State, Version, SchemaVersion</t>
  </si>
  <si>
    <t>Sysmon 255 (errors)
Sysmon 16 (config changed)
7045/4697 (служба Sysmon переустановлена)</t>
  </si>
  <si>
    <t>index=sysmon EventCode=5
  Image IN ("*\\MsMpEng.exe","*\\Sysmon*.exe","*\\EDR*.exe")
| table _time, host, Image, ProcessId, User</t>
  </si>
  <si>
    <t>Sysmon 1 (создание — пара по ProcessId)
4689 (Security)
4609 (Windows shutdown)</t>
  </si>
  <si>
    <t>index=sysmon EventCode=6
  Signed=false
| table _time, host, ImageLoaded, Hashes, Signature</t>
  </si>
  <si>
    <t>Sysmon 7 (DLL loaded)
4697/7045 (driver service install)
Sysmon 1 (процесс, загрузивший драйвер)</t>
  </si>
  <si>
    <t>index=sysmon EventCode=7
  Image IN ("*\\lsass.exe","*\\winlogon.exe","*\\svchost.exe")
  Signed=false
| stats count by Image, ImageLoaded, Signed</t>
  </si>
  <si>
    <t>Sysmon 1 (создание процесса)
Sysmon 10 (process access)
Sysmon 8 (remote thread)</t>
  </si>
  <si>
    <t>index=sysmon EventCode=8
  TargetImage IN ("*\\lsass.exe","*\\winlogon.exe","*\\explorer.exe")
| table _time, host, SourceImage, TargetImage, StartAddress, StartModule</t>
  </si>
  <si>
    <t>Sysmon 10 (process accessed)
Sysmon 7 (DLL loaded в target)
4656 (handle request к lsass)</t>
  </si>
  <si>
    <t>index=sysmon EventCode=9
  NOT Image IN ("*\\System","*\\defender*")
| table _time, host, Image, Device, User</t>
  </si>
  <si>
    <t>Sysmon 11 (file created из чтения)
4663 (file access)
Sysmon 1 (процесс)</t>
  </si>
  <si>
    <t>index=sysmon EventCode=10
  TargetImage="*\\lsass.exe"
  GrantedAccess IN ("0x1010","0x1410","0x1438","0x143a","0x1fffff")
| table _time, host, SourceImage, TargetImage, GrantedAccess, CallTrace</t>
  </si>
  <si>
    <t>Sysmon 8 (remote thread в lsass)
4656/4663 (Security)
4674 (use SeDebugPrivilege)</t>
  </si>
  <si>
    <t>index=sysmon EventCode=11
  TargetFilename IN ("*\\Temp\\*.exe","*\\AppData\\*.exe","*\\Users\\Public\\*")
| table _time, host, Image, TargetFilename, User</t>
  </si>
  <si>
    <t>Sysmon 1 (запуск созданного файла)
Sysmon 29 (executable created)
4663 (file access)</t>
  </si>
  <si>
    <t>index=sysmon EventCode=12
  TargetObject IN ("*\\Run\\*","*\\RunOnce\\*","*\\Image File Execution Options\\*","*\\AppInit_DLLs*")
| table _time, host, Image, TargetObject, EventType</t>
  </si>
  <si>
    <t>Sysmon 13 (registry value set)
Sysmon 14 (registry rename)
4657 (Security registry change)</t>
  </si>
  <si>
    <t>index=sysmon EventCode=13
  (TargetObject="*\\EnableLUA" AND Details="DWORD (0x00000000)")
  OR TargetObject="*\\DisableAntiSpyware"
  OR TargetObject IN ("*\\Run\\*","*\\RunOnce\\*")
| table _time, host, Image, TargetObject, Details</t>
  </si>
  <si>
    <t>Sysmon 12 (registry key created)
Sysmon 14 (renamed)
4657 (Security)</t>
  </si>
  <si>
    <t>index=sysmon EventCode=14
| table _time, host, Image, TargetObject, NewName</t>
  </si>
  <si>
    <t>Sysmon 12 (key created/deleted)
Sysmon 13 (value set)
4657 (Security)</t>
  </si>
  <si>
    <t>index=sysmon EventCode=15
  TargetFilename="*:*"
| table _time, host, Image, TargetFilename, StreamHash</t>
  </si>
  <si>
    <t>Sysmon 11 (file created)
Sysmon 1 (запуск из ADS)
4663 (file access)</t>
  </si>
  <si>
    <t>index=sysmon EventCode=16
| table _time, host, Configuration, ConfigurationFileHash</t>
  </si>
  <si>
    <t>Sysmon 4 (service state changed)
Sysmon 255 (errors)
4688 (sysmon.exe -c)</t>
  </si>
  <si>
    <t>index=sysmon EventCode=17
  PipeName IN ("\\*lsadump*","\\*wceservice*","\\*mimikatz*","\\*paexec*","\\*PSEXESVC*")
| table _time, host, Image, PipeName</t>
  </si>
  <si>
    <t>Sysmon 18 (pipe connected — пара)
Sysmon 1 (создавший процесс)
5145 (named pipe over network)</t>
  </si>
  <si>
    <t>index=sysmon EventCode=18
  PipeName IN ("\\*PSEXESVC*","\\*lsadump*","\\*atsvc*")
| table _time, host, Image, PipeName</t>
  </si>
  <si>
    <t>Sysmon 17 (pipe created — пара)
4624 LogonType=3 от удалённого источника
5140 (network share)</t>
  </si>
  <si>
    <t>index=sysmon EventCode=19
| table _time, host, User, EventNamespace, Name, Query</t>
  </si>
  <si>
    <t>Sysmon 20 (consumer)
Sysmon 21 (filter→consumer binding)
WMI persistence chain: 19→20→21</t>
  </si>
  <si>
    <t>index=sysmon EventCode=20
| table _time, host, User, Name, Type, Destination</t>
  </si>
  <si>
    <t>Sysmon 19 (filter)
Sysmon 21 (binding)
WMI persistence: 19+20+21 = полная цепочка</t>
  </si>
  <si>
    <t>index=sysmon EventCode=21
| table _time, host, User, Consumer, Filter</t>
  </si>
  <si>
    <t>Sysmon 19 (filter)
Sysmon 20 (consumer)
WMI Event Subscription persistence</t>
  </si>
  <si>
    <t>index=sysmon EventCode=22
  (QueryName="*.onion" OR len(QueryName)&gt;50 OR QueryName="*.bit" OR QueryName="*.tor*")
| stats count by QueryName, Image, host</t>
  </si>
  <si>
    <t>Sysmon 3 (соединение по полученному IP)
Sysmon 1 (процесс)
5156 (Security WFP)</t>
  </si>
  <si>
    <t>index=sysmon EventCode=23
  TargetFilename IN ("*\\Windows\\System32\\*","*\\Windows\\Logs\\*")
| table _time, host, Image, TargetFilename, User, Hashes</t>
  </si>
  <si>
    <t>Sysmon 26 (file delete logged)
4660/4663 (Security file delete)
Sysmon 1 (процесс)</t>
  </si>
  <si>
    <t>index=sysmon EventCode=24
  NOT Image IN ("*\\explorer.exe","*\\OUTLOOK.EXE","*\\teams.exe")
| table _time, host, Image, User</t>
  </si>
  <si>
    <t>Sysmon 1 (процесс)
Sysmon 11 (file created с буфером)</t>
  </si>
  <si>
    <t>index=sysmon EventCode=25
| table _time, host, Image, Type</t>
  </si>
  <si>
    <t>Sysmon 1 (создание процесса)
Sysmon 7 (DLL load)
Sysmon 8 (remote thread)
Классический process injection chain</t>
  </si>
  <si>
    <t>index=sysmon EventCode=26
  TargetFilename IN ("*\\Temp\\*.exe","*\\Logs\\*")
| table _time, host, Image, TargetFilename, User</t>
  </si>
  <si>
    <t>Sysmon 23 (delete archived)
4660/4663 (Security)
Sysmon 11 (был создан)</t>
  </si>
  <si>
    <t>index=sysmon EventCode=27
| table _time, host, Image, TargetFilename, User, RuleName</t>
  </si>
  <si>
    <t>Sysmon 11 (попытка создания)
Sysmon 29 (executable detected)
FileBlock policy active</t>
  </si>
  <si>
    <t>index=sysmon EventCode=28
| table _time, host, Image, TargetFilename, User</t>
  </si>
  <si>
    <t>Sysmon 23/26 (delete events)
4688 (sdelete.exe)
FileBlockShredding policy</t>
  </si>
  <si>
    <t>index=sysmon EventCode=29
  TargetFilename IN ("*\\Temp\\*","*\\AppData\\*","*\\Public\\*")
| table _time, host, Image, TargetFilename, User, Hashes</t>
  </si>
  <si>
    <t>Sysmon 11 (file created — более широкий)
Sysmon 1 (запуск созданного PE)
4688 (Security)</t>
  </si>
  <si>
    <t>index=sysmon EventCode=255
| stats count by host, ID, Description</t>
  </si>
  <si>
    <t>Sysmon 4 (service state changed)
Sysmon 16 (config changed)
7036 (System log — sysmon service)</t>
  </si>
  <si>
    <t>https://www.ultimatewindowssecurity.com/securitylog/encyclopedia/event.aspx?eventID=1149</t>
  </si>
  <si>
    <t>https://learn.microsoft.com/en-us/troubleshoot/windows-server/remote/troubleshoot-remote-desktop-connections</t>
  </si>
  <si>
    <t>https://learn.microsoft.com/en-us/windows-server/remote/remote-desktop-services/welcome-to-rds</t>
  </si>
  <si>
    <t>https://learn.microsoft.com/en-us/windows-server/remote/remote-desktop-services/rds-remotefx-vgpu</t>
  </si>
  <si>
    <t>https://learn.microsoft.com/en-us/powershell/module/microsoft.powershell.core/about/about_logging_windows#module-logging</t>
  </si>
  <si>
    <t>Связки событий (Storylines) — MITRE ATT&amp;CK / Cyber Kill Chain</t>
  </si>
  <si>
    <t>Каждая строка сводки — типовая цепочка атаки. Ниже (с строки 22) — детализация по шагам каждой цепочки. См. также колонку «Корреляции» в WinEvents_ALL.</t>
  </si>
  <si>
    <t>СВОДНАЯ ТАБЛИЦА STORYLINES</t>
  </si>
  <si>
    <t>#</t>
  </si>
  <si>
    <t>Тактика (Kill Chain)</t>
  </si>
  <si>
    <t>Название Storyline</t>
  </si>
  <si>
    <t>Цепочка Event ID</t>
  </si>
  <si>
    <t>Краткое описание</t>
  </si>
  <si>
    <t>Критичность</t>
  </si>
  <si>
    <t>Ключевые IoC</t>
  </si>
  <si>
    <t>Ссылка на детали</t>
  </si>
  <si>
    <t>Initial Access / Credential Access</t>
  </si>
  <si>
    <t>Brute-force → успешный вход</t>
  </si>
  <si>
    <t>4625 (×N) → 4740 → 4767 → 4624</t>
  </si>
  <si>
    <t>TA0006 / T1110, T1110.001, T1110.003</t>
  </si>
  <si>
    <t>Множественные неудачные попытки → локаут → разлокаут админом → успех</t>
  </si>
  <si>
    <t>&gt;10 попыток/час с 1 IP; 4625 Sub_Status 0xC000006A; внешний IP</t>
  </si>
  <si>
    <t>Credential Access</t>
  </si>
  <si>
    <t>Password Spraying по домену</t>
  </si>
  <si>
    <t>4625 (много юзеров) → 4768 fail → 4624 успех</t>
  </si>
  <si>
    <t>TA0006 / T1110.003</t>
  </si>
  <si>
    <t>1–2 попытки на многих учётках — обход lockout-политики</t>
  </si>
  <si>
    <t>1 IP, &gt;20 разных учёток, ~одновременно; Workstation повторяется</t>
  </si>
  <si>
    <t>Kerberoasting</t>
  </si>
  <si>
    <t>4624 LT=3 → 4768 → 4769 (RC4, SPN) → 4688 (Rubeus/PS)</t>
  </si>
  <si>
    <t>TA0006 / T1558.003</t>
  </si>
  <si>
    <t>Запрос TGS для сервисных аккаунтов с RC4 для offline brute</t>
  </si>
  <si>
    <t>4769 Encryption=0x17, Service!=krbtgt, много разных SPN за короткое время</t>
  </si>
  <si>
    <t>AS-REP Roasting</t>
  </si>
  <si>
    <t>4768 (Pre-Auth=0, RC4) → 4769 → 4624 LT=3</t>
  </si>
  <si>
    <t>TA0006 / T1558.004</t>
  </si>
  <si>
    <t>Запрос TGT для учёток без предаутентификации</t>
  </si>
  <si>
    <t>4768 Pre-Authentication Type=0; большой выбор учёток за раз</t>
  </si>
  <si>
    <t>DCSync (кража хешей через репликацию)</t>
  </si>
  <si>
    <t>4624 LT=3 (на DC) → 4662 (DRS GUID) → 4742</t>
  </si>
  <si>
    <t>TA0006 / T1003.006</t>
  </si>
  <si>
    <t>Имитация DC для извлечения NTDS.dit через MS-DRSR</t>
  </si>
  <si>
    <t>4662 Properties=1131f6aa-... или 1131f6ad-...; источник — не DC</t>
  </si>
  <si>
    <t>Lateral Movement / Execution</t>
  </si>
  <si>
    <t>PSExec (admin share + service install)</t>
  </si>
  <si>
    <t>5140 (ADMIN$) → 4624 LT=3 → 4672 → 4688 (psexec.exe) → 4697/7045</t>
  </si>
  <si>
    <t>TA0008 / T1021.002, T1569.002, T1543.003</t>
  </si>
  <si>
    <t>Классический PSExec — ваш пример. Копирование binary → создание службы PSEXESVC</t>
  </si>
  <si>
    <t>Share=ADMIN$/IPC$; Service_Name=PSEXESVC; Service_File во временных папках</t>
  </si>
  <si>
    <t>WMI / WMIC Remote Execution</t>
  </si>
  <si>
    <t>4624 LT=3 → 4672 → 4688 (wmic.exe / WmiPrvSE.exe)</t>
  </si>
  <si>
    <t>TA0008 / T1021.006, T1047</t>
  </si>
  <si>
    <t>Удалённый запуск процессов через WMI без нужды в файлах на диске</t>
  </si>
  <si>
    <t>ParentImage=WmiPrvSE.exe; дочерние powershell/cmd; вход LT=3 с другого хоста</t>
  </si>
  <si>
    <t>Lateral Movement</t>
  </si>
  <si>
    <t>RDP-перемещение внутри сети</t>
  </si>
  <si>
    <t>4624 LT=10 → 1149 → 4778 → 4688 (mstsc.exe)</t>
  </si>
  <si>
    <t>TA0008 / T1021.001</t>
  </si>
  <si>
    <t>RDP-вход с внутреннего хоста — вероятный hop pivot после компрометации</t>
  </si>
  <si>
    <t>SourceIP — внутренний; вход в нерабочее время; chain RDP &gt; 2 хостов</t>
  </si>
  <si>
    <t>Lateral Movement / Persistence</t>
  </si>
  <si>
    <t>Pass-the-Hash (NTLM)</t>
  </si>
  <si>
    <t>4776 → 4624 LT=3 (NTLM, AuthPkg=NTLM) → 4672</t>
  </si>
  <si>
    <t>TA0008 / T1550.002</t>
  </si>
  <si>
    <t>Аутентификация NTLM-хешем без знания пароля</t>
  </si>
  <si>
    <t>4624 AuthenticationPackage=NTLM для доменных учёток; LogonType=3</t>
  </si>
  <si>
    <t>Persistence / Privilege Escalation</t>
  </si>
  <si>
    <t>Backdoor-аккаунт в Domain Admins</t>
  </si>
  <si>
    <t>4720 → 4722 → 4724 → 4728/4732 (Domain Admins) → 4738</t>
  </si>
  <si>
    <t>TA0003+TA0004 / T1136.002, T1098, T1078.002</t>
  </si>
  <si>
    <t>Создание учётки и быстрое добавление в привилегированную группу</t>
  </si>
  <si>
    <t>4720+4728 в течение 5 мин; имя похожее на системное (svc_*, admin$); нерабочее время</t>
  </si>
  <si>
    <t>Persistence</t>
  </si>
  <si>
    <t>Scheduled Task как backdoor</t>
  </si>
  <si>
    <t>4688 (schtasks.exe) → 4698 → 4624 LT=5 → 4688 (из задачи)</t>
  </si>
  <si>
    <t>TA0003 / T1053.005</t>
  </si>
  <si>
    <t>Планировщик запускает вредоносный код по триггеру / расписанию</t>
  </si>
  <si>
    <t>Task_Content с powershell/cmd/rundll32/mshta; запуск из Temp/AppData; триггер OnLogon</t>
  </si>
  <si>
    <t>Privilege Escalation</t>
  </si>
  <si>
    <t>UAC bypass / runas escalation</t>
  </si>
  <si>
    <t>4624 LT=2 → 4648 → 4672 → 4688 (Token Elev=1)</t>
  </si>
  <si>
    <t>TA0004 / T1548.002, T1134</t>
  </si>
  <si>
    <t>Запуск процесса с явными кредами и получением высоких привилегий</t>
  </si>
  <si>
    <t>4648 NOT machine$; 4672 с SeDebugPrivilege/SeTcbPrivilege у обычного юзера</t>
  </si>
  <si>
    <t>Defense Evasion</t>
  </si>
  <si>
    <t>Очистка журналов и отключение аудита</t>
  </si>
  <si>
    <t>4688 (wevtutil/PS) → 4719 → 1102 → (тишина)</t>
  </si>
  <si>
    <t>TA0005 / T1070.001, T1562.002</t>
  </si>
  <si>
    <t>Скрытие следов: изменение политики аудита, затем очистка журнала</t>
  </si>
  <si>
    <t>1102 вообще любой — это инцидент; 4719 без контекста GPO; пропажа событий после 1102</t>
  </si>
  <si>
    <t>Defense Evasion / Impact</t>
  </si>
  <si>
    <t>Ransomware-паттерн (shadow copies + файлы)</t>
  </si>
  <si>
    <t>4688 (vssadmin/wbadmin) → 4663 (массовые write/delete) → 4946 → 7045</t>
  </si>
  <si>
    <t>TA0040 / T1490, T1486, T1562.004</t>
  </si>
  <si>
    <t>Удаление теневых копий и массовое шифрование файлов</t>
  </si>
  <si>
    <t>vssadmin delete shadows /all; bcdedit /set recoveryenabled No; пик 4663 WriteData</t>
  </si>
  <si>
    <t>ДЕТАЛИЗАЦИЯ STORYLINES — пошаговые цепочки</t>
  </si>
  <si>
    <t>№</t>
  </si>
  <si>
    <t>Этап</t>
  </si>
  <si>
    <t>Описание шага</t>
  </si>
  <si>
    <t>Ключевые поля / IoC</t>
  </si>
  <si>
    <t>SPL / детект-логика</t>
  </si>
  <si>
    <t>Storyline 1: Brute-force → успешный вход</t>
  </si>
  <si>
    <t>Reconnaissance → Access</t>
  </si>
  <si>
    <t>Повторяющиеся неудачные попытки входа с одного источника на одну учётку</t>
  </si>
  <si>
    <t>TargetUserName=victim, IpAddress=ext, SubStatus=0xC000006A (неверный пароль), LogonType=3/10</t>
  </si>
  <si>
    <t>T1110.001</t>
  </si>
  <si>
    <t>EventCode=4625 | bucket span=10m | stats dc(Sub_Status) c by IpAddress,TargetUserName | where c&gt;10</t>
  </si>
  <si>
    <t>Lockout</t>
  </si>
  <si>
    <t>Учётка заблокирована политикой</t>
  </si>
  <si>
    <t>TargetUserName, CallerComputerName (откуда вызван локаут)</t>
  </si>
  <si>
    <t>T1110 (side-effect)</t>
  </si>
  <si>
    <t>EventCode=4740 | stats c by TargetUserName,Caller_Computer_Name</t>
  </si>
  <si>
    <t>Админ (или скомпрометированный привилегированный аккаунт) разблокировал учётку</t>
  </si>
  <si>
    <t>TargetUserName=victim, SubjectUserName=admin</t>
  </si>
  <si>
    <t>EventCode=4767 | table _time,SubjectUserName,TargetUserName</t>
  </si>
  <si>
    <t>Success</t>
  </si>
  <si>
    <t>Успешный вход после множества 4625</t>
  </si>
  <si>
    <t>TargetUserName=та же, IpAddress=тот же или рядом, LogonType=3/10</t>
  </si>
  <si>
    <t>join TargetUserName,IpAddress [search EventCode=4624 LogonType IN (3,10)] AND _time&gt;last_4625</t>
  </si>
  <si>
    <t>Итог</t>
  </si>
  <si>
    <t>Корреляция</t>
  </si>
  <si>
    <t>мульти</t>
  </si>
  <si>
    <t>Связь этапов в единый alert</t>
  </si>
  <si>
    <t>Окно: 1 час; порог 4625: &gt;10; последовательность обязательная</t>
  </si>
  <si>
    <t>TA0006</t>
  </si>
  <si>
    <t>(EventCode=4625 OR EventCode=4624 OR EventCode=4740 OR EventCode=4767) | transaction TargetUserName maxspan=1h | where eventcount&gt;=12 AND match(EventCodes,"4625") AND match(EventCodes,"4624")</t>
  </si>
  <si>
    <t>Storyline 2: Password Spraying по домену</t>
  </si>
  <si>
    <t>Access (spray)</t>
  </si>
  <si>
    <t>1–2 неудачные попытки на множестве учёток</t>
  </si>
  <si>
    <t>Один IpAddress; &gt;20 разных TargetUserName за 10 мин; часто с веба/OWA/RDG</t>
  </si>
  <si>
    <t>T1110.003</t>
  </si>
  <si>
    <t>EventCode=4625 | bucket span=10m | stats dc(TargetUserName) as users by IpAddress | where users&gt;=20</t>
  </si>
  <si>
    <t>Kerberos pre-auth fail</t>
  </si>
  <si>
    <t>TGT отказ в выдаче (Result Code 0x18)</t>
  </si>
  <si>
    <t>Result_Code=0x18; Client_Address; Service_Name=krbtgt</t>
  </si>
  <si>
    <t>EventCode=4768 Result_Code=0x18 | stats dc(TargetUserName) by Client_Address</t>
  </si>
  <si>
    <t>Первый успех с того же IP</t>
  </si>
  <si>
    <t>IpAddress = из 4625; LogonType=3/10</t>
  </si>
  <si>
    <t>EventCode=4624 LogonType IN (3,10) IpAddress IN ([sprayer_ips])</t>
  </si>
  <si>
    <t>Spray-источник + успех</t>
  </si>
  <si>
    <t>Окно: 30 мин; мин. 20 учёток в 4625</t>
  </si>
  <si>
    <t>EventCode=4625 | bucket span=30m | stats dc(TargetUserName) as fails values(IpAddress) by IpAddress | where fails&gt;=20 | join IpAddress [search EventCode=4624 LogonType IN (3,10)]</t>
  </si>
  <si>
    <t>Storyline 3: Kerberoasting</t>
  </si>
  <si>
    <t>Access</t>
  </si>
  <si>
    <t>Вход атакующего под любым доменным аккаунтом</t>
  </si>
  <si>
    <t>LogonType=3, TargetUserName — любой доменный юзер</t>
  </si>
  <si>
    <t>EventCode=4624 LogonType=3</t>
  </si>
  <si>
    <t>TGT (опц)</t>
  </si>
  <si>
    <t>Запрос TGT</t>
  </si>
  <si>
    <t>Result_Code=0x0, Encryption Type=0x12 (легит) или 0x17</t>
  </si>
  <si>
    <t>T1558</t>
  </si>
  <si>
    <t>EventCode=4768</t>
  </si>
  <si>
    <t>TGS Request (KEY)</t>
  </si>
  <si>
    <t>Запрос TGS для сервисных счетов с RC4</t>
  </si>
  <si>
    <t>Ticket_Encryption_Type=0x17 (RC4); Service_Name!=krbtgt; много разных SPN в окне</t>
  </si>
  <si>
    <t>EventCode=4769 Ticket_Encryption_Type=0x17 Service_Name!=*krbtgt* | bucket span=10m | stats dc(Service_Name) as spns by Account_Name | where spns&gt;=5</t>
  </si>
  <si>
    <t>Execution (инструмент)</t>
  </si>
  <si>
    <t>Запуск Rubeus / Invoke-Kerberoast / GetUserSPNs.py</t>
  </si>
  <si>
    <t>CommandLine contains "kerberoast", "asktgs", "-rc4", "GetUserSPNs"; Image=powershell/rubeus</t>
  </si>
  <si>
    <t>T1059.001, T1558.003</t>
  </si>
  <si>
    <t>EventCode=4688 (NewProcessName=*rubeus* OR CommandLine=*kerberoast* OR CommandLine=*GetUserSPN*)</t>
  </si>
  <si>
    <t>4769+4688</t>
  </si>
  <si>
    <t>Массовый RC4 TGS с одного юзера + инструмент</t>
  </si>
  <si>
    <t>Окно: 30 мин; порог SPN: ≥5 разных</t>
  </si>
  <si>
    <t>EventCode=4769 Ticket_Encryption_Type=0x17 | bucket span=30m | stats dc(Service_Name) by Account_Name,Client_Address | where dc&gt;=5</t>
  </si>
  <si>
    <t>Storyline 4: AS-REP Roasting</t>
  </si>
  <si>
    <t>TGT без pre-auth (KEY)</t>
  </si>
  <si>
    <t>Запрос TGT для учёток с отключённой предавтентификацией</t>
  </si>
  <si>
    <t>Pre-Authentication Type=0 (выключена); Encryption Type=0x17; Result_Code=0x0</t>
  </si>
  <si>
    <t>T1558.004</t>
  </si>
  <si>
    <t>EventCode=4768 Pre_Authentication_Type=0 | stats c by TargetUserName,Client_Address | where c&gt;=3</t>
  </si>
  <si>
    <t>Execution</t>
  </si>
  <si>
    <t>Rubeus asreproast / Get-ASREPHash</t>
  </si>
  <si>
    <t>CommandLine contains "asreproast", "GetNPUsers", "ASRepCatcher"</t>
  </si>
  <si>
    <t>EventCode=4688 (CommandLine=*asreproast* OR CommandLine=*GetNPUsers* OR CommandLine=*asrep*)</t>
  </si>
  <si>
    <t>Access (взлом offline → вход)</t>
  </si>
  <si>
    <t>Вход под скомпрометированным аккаунтом</t>
  </si>
  <si>
    <t>TargetUserName — из 4768 с Pre-Auth=0</t>
  </si>
  <si>
    <t>EventCode=4624 TargetUserName IN ([asrep_victims])</t>
  </si>
  <si>
    <t>Обычно самого 4768 с PreAuth=0 достаточно — это строгий IoC</t>
  </si>
  <si>
    <t>Базовый фон должен быть малый; исключить легитимные аккаунты</t>
  </si>
  <si>
    <t>EventCode=4768 Pre_Authentication_Type=0 NOT TargetUserName IN ([whitelist]) | table _time,TargetUserName,Client_Address</t>
  </si>
  <si>
    <t>Storyline 5: DCSync — репликация NTDS</t>
  </si>
  <si>
    <t>Access на DC</t>
  </si>
  <si>
    <t>Вход на контроллер домена</t>
  </si>
  <si>
    <t>LogonType=3, хост — DC; Account с Replicating Directory Changes</t>
  </si>
  <si>
    <t>T1078.002</t>
  </si>
  <si>
    <t>EventCode=4624 LogonType=3 host=DC*</t>
  </si>
  <si>
    <t>Directory Service Access (KEY)</t>
  </si>
  <si>
    <t>Доступ к объекту с расширенными правами репликации</t>
  </si>
  <si>
    <t>Properties: 1131f6aa-9c07-11d1-f79f-00c04fc2dcd2 (DS-Replication-Get-Changes) или 1131f6ad-... (DS-Replication-Get-Changes-All)</t>
  </si>
  <si>
    <t>T1003.006</t>
  </si>
  <si>
    <t>EventCode=4662 (Properties=*1131f6aa* OR Properties=*1131f6ad* OR Properties=*89e95b76*) NOT SubjectUserName=*$</t>
  </si>
  <si>
    <t>mimikatz / DSInternals / impacket secretsdump</t>
  </si>
  <si>
    <t>CommandLine: lsadump::dcsync, secretsdump, Get-ADReplAccount</t>
  </si>
  <si>
    <t>EventCode=4688 (CommandLine=*dcsync* OR CommandLine=*secretsdump* OR CommandLine=*GetADReplAccount*)</t>
  </si>
  <si>
    <t>Любой 4662 с DS-Replication GUID от не-DC или не-белого аккаунта — инцидент</t>
  </si>
  <si>
    <t>Белый список: AAD Connect, все DC; всё остальное — подозрительно</t>
  </si>
  <si>
    <t>EventCode=4662 (Properties=*1131f6aa* OR Properties=*1131f6ad*) NOT SubjectUserName IN ([dc_replication_whitelist]) | table _time,SubjectUserName,SubjectDomainName,ObjectName</t>
  </si>
  <si>
    <t>Storyline 6: PSExec (admin share + service install) — классический вариант</t>
  </si>
  <si>
    <t>Lateral Movement (admin share)</t>
  </si>
  <si>
    <t>Подключение к ADMIN$ / IPC$ — копирование бинарника</t>
  </si>
  <si>
    <t>ShareName=\\\\*\\ADMIN$, AccessMask=0x100081; SourceAddress=внутренний</t>
  </si>
  <si>
    <t>T1021.002</t>
  </si>
  <si>
    <t>EventCode=5140 Share_Name=*ADMIN$</t>
  </si>
  <si>
    <t>Network Logon</t>
  </si>
  <si>
    <t>Сетевой вход для разворачивания службы</t>
  </si>
  <si>
    <t>LogonType=3, AuthenticationPackage=NTLM или Kerberos; ElevatedToken=Yes</t>
  </si>
  <si>
    <t>Privilege Use</t>
  </si>
  <si>
    <t>Назначение специальных привилегий админу</t>
  </si>
  <si>
    <t>SeDebugPrivilege, SeTcbPrivilege, SeImpersonate и др.</t>
  </si>
  <si>
    <t>EventCode=4672 PrivilegeList=*SeDebug*</t>
  </si>
  <si>
    <t>Service Install (KEY)</t>
  </si>
  <si>
    <t>4697/7045</t>
  </si>
  <si>
    <t>Создание службы PSEXESVC</t>
  </si>
  <si>
    <t>Service_Name=PSEXESVC (или рандомный); Service_File_Name=*PSEXESVC.exe; Service_Type=user mode service</t>
  </si>
  <si>
    <t>T1543.003, T1569.002</t>
  </si>
  <si>
    <t xml:space="preserve">EventCode=4697 OR EventCode=7045 (Service_Name=*PSEXESVC* OR Service_File_Name=*\\\\admin$*) </t>
  </si>
  <si>
    <t>Запуск PSEXESVC.exe и дочерних команд</t>
  </si>
  <si>
    <t>ParentImage=PSEXESVC.exe; дочерние: cmd, powershell</t>
  </si>
  <si>
    <t>T1569.002</t>
  </si>
  <si>
    <t>EventCode=4688 (ParentProcessName=*PSEXESVC.exe OR NewProcessName=*PSEXESVC.exe)</t>
  </si>
  <si>
    <t>5140+4697</t>
  </si>
  <si>
    <t>Admin share + Service install в коротком окне</t>
  </si>
  <si>
    <t>Окно: 5 мин между 5140 и 4697; источник=тот же хост</t>
  </si>
  <si>
    <t>TA0008+TA0002</t>
  </si>
  <si>
    <t>(EventCode=5140 Share_Name=*ADMIN$) OR (EventCode IN (4697,7045)) | transaction host maxspan=5m | where match(EventCodes,"5140") AND match(EventCodes,"(4697|7045)")</t>
  </si>
  <si>
    <t>Storyline 7: WMI Remote Execution</t>
  </si>
  <si>
    <t>Сетевой вход на целевой хост</t>
  </si>
  <si>
    <t>LogonType=3; IpAddress — внутренний</t>
  </si>
  <si>
    <t>T1021.006</t>
  </si>
  <si>
    <t>Назначение привилегий</t>
  </si>
  <si>
    <t>SubjectUserSid — элевация</t>
  </si>
  <si>
    <t>EventCode=4672</t>
  </si>
  <si>
    <t>WMI Execution (KEY)</t>
  </si>
  <si>
    <t>Запуск процесса через WmiPrvSE.exe</t>
  </si>
  <si>
    <t>ParentImage=C:\\Windows\\System32\\wbem\\WmiPrvSE.exe; дочерние: powershell, cmd, rundll32, regsvr32</t>
  </si>
  <si>
    <t>T1047</t>
  </si>
  <si>
    <t>EventCode=4688 ParentProcessName=*WmiPrvSE.exe NewProcessName IN (*powershell*, *cmd.exe, *rundll32*, *regsvr32*)</t>
  </si>
  <si>
    <t>WMIC клиент (опц)</t>
  </si>
  <si>
    <t>На исходном хосте: wmic /node:...</t>
  </si>
  <si>
    <t>NewProcessName=*wmic.exe; CommandLine contains "/node:", "process call create"</t>
  </si>
  <si>
    <t>EventCode=4688 NewProcessName=*wmic.exe CommandLine=*/node:*</t>
  </si>
  <si>
    <t>WmiPrvSE → опасный чайлд</t>
  </si>
  <si>
    <t>WmiPrvSE сам по себе легитен, но не должен порождать оболочки</t>
  </si>
  <si>
    <t>EventCode=4688 ParentProcessName=*WmiPrvSE.exe NewProcessName IN (*powershell*,*cmd.exe,*rundll32*,*regsvr32*,*mshta*)</t>
  </si>
  <si>
    <t>Storyline 8: RDP Lateral Movement</t>
  </si>
  <si>
    <t>Interactive Logon</t>
  </si>
  <si>
    <t>RDP-вход</t>
  </si>
  <si>
    <t>LogonType=10 (RemoteInteractive); IpAddress — внутренний</t>
  </si>
  <si>
    <t>EventCode=4624 LogonType=10 IpAddress IN ([internal_subnets])</t>
  </si>
  <si>
    <t>RDP Session Start</t>
  </si>
  <si>
    <t>TerminalServices: успешная аутентификация</t>
  </si>
  <si>
    <t>User, SourceNetworkAddress; лог: Microsoft-Windows-TerminalServices-RemoteConnectionManager</t>
  </si>
  <si>
    <t>source="WinEventLog:Microsoft-Windows-TerminalServices-RemoteConnectionManager/Operational" EventCode=1149</t>
  </si>
  <si>
    <t>Session Reconnect (опц)</t>
  </si>
  <si>
    <t>Переподключение к сессии</t>
  </si>
  <si>
    <t>AccountName, ClientAddress; возможный перехват сессии</t>
  </si>
  <si>
    <t>T1563.002</t>
  </si>
  <si>
    <t>EventCode=4778</t>
  </si>
  <si>
    <t>Pivot</t>
  </si>
  <si>
    <t>mstsc.exe из этой же RDP-сессии → следующий хост</t>
  </si>
  <si>
    <t>NewProcessName=*mstsc.exe; ParentLogonId = LogonId из 4624 LT=10</t>
  </si>
  <si>
    <t>EventCode=4688 NewProcessName=*mstsc.exe</t>
  </si>
  <si>
    <t>4624+4688</t>
  </si>
  <si>
    <t>RDP-chain через &gt;=2 хоста</t>
  </si>
  <si>
    <t>Окно: 1 час; юзер тот же; хосты разные; нерабочее время — бонус</t>
  </si>
  <si>
    <t>TA0008</t>
  </si>
  <si>
    <t>EventCode=4624 LogonType=10 | bucket span=1h | stats dc(host) as hosts by TargetUserName | where hosts&gt;=2</t>
  </si>
  <si>
    <t>Storyline 9: Pass-the-Hash (NTLM)</t>
  </si>
  <si>
    <t>NTLM Auth (KEY)</t>
  </si>
  <si>
    <t>NTLM-валидация учётки</t>
  </si>
  <si>
    <t>PackageName=NTLM/MICROSOFT_AUTHENTICATION_PACKAGE_V1_0; Workstation=источник</t>
  </si>
  <si>
    <t>EventCode=4776 Workstation_Name!=expected</t>
  </si>
  <si>
    <t>Network Logon (KEY)</t>
  </si>
  <si>
    <t>Сетевой вход с NTLM для доменной учётки</t>
  </si>
  <si>
    <t>LogonType=3, AuthenticationPackageName=NTLM, LogonProcessName=NtLmSsp; TargetDomainName=DOMAIN (не WORKGROUP/local)</t>
  </si>
  <si>
    <t>EventCode=4624 LogonType=3 Authentication_Package=NTLM Target_Domain_Name!=local AND Target_Domain_Name!=WORKGROUP</t>
  </si>
  <si>
    <t>Элевация на целевом хосте</t>
  </si>
  <si>
    <t>Привилегии SeDebug, SeImpersonate</t>
  </si>
  <si>
    <t>4776+4624</t>
  </si>
  <si>
    <t>NTLM в домене — аномалия</t>
  </si>
  <si>
    <t>Исключить legacy-системы; baseline NTLM/host</t>
  </si>
  <si>
    <t>EventCode=4624 LogonType=3 Authentication_Package=NTLM Target_Domain_Name=$YourDomain | stats c by TargetUserName,Workstation_Name,IpAddress | where c&gt;=3</t>
  </si>
  <si>
    <t>Storyline 10: Backdoor-аккаунт в Domain Admins</t>
  </si>
  <si>
    <t>Persistence: Create</t>
  </si>
  <si>
    <t>Создание новой учётки</t>
  </si>
  <si>
    <t>TargetUserName, SubjectUserName (кто создал); имя похожее на системное: svc_*, admin$, helpdesk</t>
  </si>
  <si>
    <t>T1136.002</t>
  </si>
  <si>
    <t>EventCode=4720</t>
  </si>
  <si>
    <t>Enable</t>
  </si>
  <si>
    <t>Активация учётки</t>
  </si>
  <si>
    <t>TargetUserName=тот же</t>
  </si>
  <si>
    <t>EventCode=4722</t>
  </si>
  <si>
    <t>Password Set</t>
  </si>
  <si>
    <t>Сброс пароля админом</t>
  </si>
  <si>
    <t>SubjectUserName=admin; TargetUserName=новый</t>
  </si>
  <si>
    <t>EventCode=4724</t>
  </si>
  <si>
    <t>Group Add (KEY)</t>
  </si>
  <si>
    <t>4728/4732/4756</t>
  </si>
  <si>
    <t>Добавление в Domain Admins / Administrators / Enterprise Admins</t>
  </si>
  <si>
    <t>TargetGroupName=Domain Admins / Administrators / Enterprise Admins / Schema Admins; MemberName=новый юзер</t>
  </si>
  <si>
    <t>T1098, T1078.002</t>
  </si>
  <si>
    <t>EventCode IN (4728,4732,4756) TargetUserName IN ("Domain Admins","Enterprise Admins","Administrators","Schema Admins")</t>
  </si>
  <si>
    <t>4720+4728</t>
  </si>
  <si>
    <t>Создание + добавление в привилегированную группу &lt; 5 мин</t>
  </si>
  <si>
    <t>Быстрая последовательность — классический IoC; внерабочее время усиливает подозрение</t>
  </si>
  <si>
    <t>TA0003+TA0004</t>
  </si>
  <si>
    <t>EventCode IN (4720,4722,4724,4728,4732) | transaction TargetUserName maxspan=5m | where match(EventCodes,"4720") AND match(EventCodes,"(4728|4732)")</t>
  </si>
  <si>
    <t>Storyline 11: Scheduled Task как backdoor</t>
  </si>
  <si>
    <t>Execution (создание)</t>
  </si>
  <si>
    <t>Запуск schtasks.exe / PowerShell New-ScheduledTask</t>
  </si>
  <si>
    <t>NewProcessName=*schtasks.exe; CommandLine="/create", "/sc", "/tr"; либо powershell New-ScheduledTask*</t>
  </si>
  <si>
    <t>EventCode=4688 (NewProcessName=*schtasks.exe AND CommandLine=*create*) OR (CommandLine=*New-ScheduledTask*)</t>
  </si>
  <si>
    <t>Persistence (KEY)</t>
  </si>
  <si>
    <t>TaskName, TaskContent XML; в Actions виден Command и Arguments</t>
  </si>
  <si>
    <t>EventCode=4698 Task_Content=(*powershell* OR *cmd* OR *rundll32* OR *mshta* OR *AppData* OR *Temp*)</t>
  </si>
  <si>
    <t>Trigger</t>
  </si>
  <si>
    <t>Вход в качестве службы/батча из задачи</t>
  </si>
  <si>
    <t>LogonType=5 (Service) или 4 (Batch); SubjectUserName=SYSTEM</t>
  </si>
  <si>
    <t>EventCode=4624 LogonType IN (4,5)</t>
  </si>
  <si>
    <t>Execution задачи</t>
  </si>
  <si>
    <t>ParentProcess=svchost.exe -k netsvcs → вредонос из задачи</t>
  </si>
  <si>
    <t>ParentImage=*taskeng.exe или *svchost.exe; NewProcessName — из Task_Content</t>
  </si>
  <si>
    <t>EventCode=4688 ParentProcessName=*svchost.exe OR ParentProcessName=*taskeng.exe</t>
  </si>
  <si>
    <t>TaskContent с подозрительным command line</t>
  </si>
  <si>
    <t>Белый список: Adobe, Google Update, Microsoft Office</t>
  </si>
  <si>
    <t>TA0003</t>
  </si>
  <si>
    <t>EventCode=4698 Task_Content=(*powershell* OR *cmd /c* OR *rundll32* OR *mshta* OR *bitsadmin*) NOT Task_Name IN ([whitelist]) | table _time,SubjectUserName,Task_Name,Task_Content</t>
  </si>
  <si>
    <t>Storyline 12: UAC Bypass / Runas Escalation</t>
  </si>
  <si>
    <t>Обычный интерактивный вход юзера</t>
  </si>
  <si>
    <t>LogonType=2, ElevatedToken=No</t>
  </si>
  <si>
    <t>EventCode=4624 LogonType=2</t>
  </si>
  <si>
    <t>Explicit Credentials (KEY)</t>
  </si>
  <si>
    <t>Попытка входа с явными учётными данными (runas)</t>
  </si>
  <si>
    <t>SubjectUserName и TargetUserName различаются; TargetServerName — текущий хост</t>
  </si>
  <si>
    <t>EventCode=4648 NOT (SubjectUserName=*$ OR TargetUserName=*$)</t>
  </si>
  <si>
    <t>Назначены SeDebug / SeTcb / SeImpersonate</t>
  </si>
  <si>
    <t>Аномалия: обычный юзер получает такие привилегии</t>
  </si>
  <si>
    <t>EventCode=4672 PrivilegeList=(*SeDebug* OR *SeTcb*)</t>
  </si>
  <si>
    <t>Execution (элевация)</t>
  </si>
  <si>
    <t>Процесс с TokenElevationType=1 (полный токен) от obj. юзера</t>
  </si>
  <si>
    <t>Token_Elevation_Type=%%1936 (полный); ParentImage — fodhelper.exe, eventvwr.exe, sdclt.exe (типичные UAC bypass)</t>
  </si>
  <si>
    <t>T1548.002</t>
  </si>
  <si>
    <t>EventCode=4688 (ParentProcessName=*fodhelper.exe OR ParentProcessName=*eventvwr.exe OR ParentProcessName=*sdclt.exe OR ParentProcessName=*computerdefaults.exe) Token_Elevation_Type=*1936*</t>
  </si>
  <si>
    <t>4648+4672</t>
  </si>
  <si>
    <t>Runas + элевация привилегий без админской истории</t>
  </si>
  <si>
    <t>Окно: 5 мин; связка по LogonId</t>
  </si>
  <si>
    <t>TA0004</t>
  </si>
  <si>
    <t>(EventCode=4648 OR EventCode=4672) | transaction TargetLogonId maxspan=5m | where match(EventCodes,"4648") AND match(EventCodes,"4672")</t>
  </si>
  <si>
    <t>Storyline 13: Очистка журналов и отключение аудита</t>
  </si>
  <si>
    <t>Execution (подготовка)</t>
  </si>
  <si>
    <t>Запуск wevtutil.exe / PowerShell Clear-EventLog / auditpol.exe</t>
  </si>
  <si>
    <t>CommandLine: wevtutil cl, Clear-EventLog, auditpol /clear, /set /category:* /success:disable</t>
  </si>
  <si>
    <t>T1070.001 / T1562.002</t>
  </si>
  <si>
    <t>EventCode=4688 (CommandLine=*wevtutil*cl* OR CommandLine=*Clear-EventLog* OR CommandLine=*auditpol*/clear*)</t>
  </si>
  <si>
    <t>Изменена системная политика аудита</t>
  </si>
  <si>
    <t>Аномалия: изменение вне GPO; отключение категорий Logon/Account Management/Process Creation</t>
  </si>
  <si>
    <t>EventCode=4719 NOT SubjectUserName=*$</t>
  </si>
  <si>
    <t>Defense Evasion (главный)</t>
  </si>
  <si>
    <t>Журнал Security очищен</t>
  </si>
  <si>
    <t>Любое 1102 — инцидент. Account = кто очистил. Сравнить с окном тишины после</t>
  </si>
  <si>
    <t>EventCode=1102</t>
  </si>
  <si>
    <t>Detection-by-absence</t>
  </si>
  <si>
    <t>(любое)</t>
  </si>
  <si>
    <t>Пропажа событий 4624/4688 после 1102 — вероятно и аудит выключен</t>
  </si>
  <si>
    <t>Счётчик 4624/час резко падает ниже baseline</t>
  </si>
  <si>
    <t>| timechart count by EventCode | streamstats time_window=1h avg("4624") as baseline | where "4624" &lt; baseline*0.1</t>
  </si>
  <si>
    <t>4688→4719→1102</t>
  </si>
  <si>
    <t>Полная цепь сокрытия следов</t>
  </si>
  <si>
    <t>Окно: 30 мин; связь по Computer + User</t>
  </si>
  <si>
    <t>TA0005</t>
  </si>
  <si>
    <t>(EventCode=1102) OR (EventCode=4719) OR (EventCode=4688 (CommandLine=*wevtutil*OR*auditpol*)) | stats values(EventCode) as Codes by host User | where mvcount(Codes)&gt;=2</t>
  </si>
  <si>
    <t>Storyline 14: Ransomware-паттерн (shadow copies + массовое шифрование)</t>
  </si>
  <si>
    <t>Inhibit Recovery</t>
  </si>
  <si>
    <t>Удаление теневых копий и backup catalog</t>
  </si>
  <si>
    <t>CommandLine: vssadmin delete shadows /all, wbadmin delete catalog, wmic shadowcopy delete, bcdedit /set recoveryenabled No</t>
  </si>
  <si>
    <t>T1490</t>
  </si>
  <si>
    <t>EventCode=4688 (CommandLine=*vssadmin*delete*shadows* OR CommandLine=*wbadmin*delete* OR CommandLine=*bcdedit*recoveryenabled*No* OR CommandLine=*wmic*shadowcopy*delete*)</t>
  </si>
  <si>
    <t>4688/4946</t>
  </si>
  <si>
    <t>Отключение Defender / изменение firewall (4946)</t>
  </si>
  <si>
    <t>Set-MpPreference -DisableRealtimeMonitoring; netsh advfirewall set ... state off; добавление исключений</t>
  </si>
  <si>
    <t>T1562.001, T1562.004</t>
  </si>
  <si>
    <t>EventCode=4688 (CommandLine=*Set-MpPreference*Disable* OR CommandLine=*netsh*advfirewall*off*) OR EventCode=4946</t>
  </si>
  <si>
    <t>Impact (шифрование)</t>
  </si>
  <si>
    <t>Массовое WriteData/DeleteFile в файловых share-ах</t>
  </si>
  <si>
    <t>AccessMask 0x2/0x10000 (Write/Delete) по тысячам файлов за минуты; новые расширения (.locked, .enc, random)</t>
  </si>
  <si>
    <t>T1486</t>
  </si>
  <si>
    <t>EventCode=4663 AccessMask IN (0x2,0x10000,0x40) | stats dc(ObjectName) as files by SubjectUserName host span=5m | where files&gt;500</t>
  </si>
  <si>
    <t>Service Install (опц.)</t>
  </si>
  <si>
    <t>Размещение ransomware-бинаря как службы для исполнения по всему домену</t>
  </si>
  <si>
    <t>ServiceFile в ProgramData/Temp; случайное имя; запуск на десятках хостов</t>
  </si>
  <si>
    <t>(EventCode=4697 OR EventCode=7045) ServiceFileName=(*ProgramData* OR *Temp* OR *AppData*) | stats dc(host) as hosts by ServiceName | where hosts&gt;3</t>
  </si>
  <si>
    <t>4688→4663</t>
  </si>
  <si>
    <t>Спарка vssadmin + шторм письма = ransomware</t>
  </si>
  <si>
    <t>Окно: 10 мин после vssadmin</t>
  </si>
  <si>
    <t>TA0040</t>
  </si>
  <si>
    <t>((EventCode=4688 CommandLine=*vssadmin*delete*shadows*) OR (EventCode=4663 AccessMask IN (0x2,0x10000))) | transaction host maxspan=10m | where match(_raw,"vssadmin") AND eventcount&gt;100</t>
  </si>
  <si>
    <t>Инструменты атакующих — справочник для SOC</t>
  </si>
  <si>
    <t>Известные инструменты red team / APT с именами процессов, MITRE TTP, связанными Event ID и ссылками на источник. Используйте при разборе инцидентов и для расширения кругозора.</t>
  </si>
  <si>
    <t>Платформа</t>
  </si>
  <si>
    <t>Типичные имена процессов / файлов</t>
  </si>
  <si>
    <t>Связанные Event ID</t>
  </si>
  <si>
    <t>Ссылка</t>
  </si>
  <si>
    <t>Mimikatz</t>
  </si>
  <si>
    <t>Standalone</t>
  </si>
  <si>
    <t>Windows</t>
  </si>
  <si>
    <t>mimikatz.exe, mimilib.dll, mimidrv.sys; часто переименовывают. Команды: sekurlsa::logonpasswords, lsadump::dcsync, kerberos::ptt</t>
  </si>
  <si>
    <t>T1003.001 (LSASS), T1003.006 (DCSync), T1558 (Kerberos), T1550 (PtH/PtT)</t>
  </si>
  <si>
    <t>4624 LT=9, 4672, 4662 (DCSync), 4769 RC4</t>
  </si>
  <si>
    <t>Эталонный инструмент для извлечения паролей, хешей, Kerberos-билетов из памяти. Автор — Benjamin Delpy.</t>
  </si>
  <si>
    <t>Rubeus</t>
  </si>
  <si>
    <t>Standalone (.NET)</t>
  </si>
  <si>
    <t>Rubeus.exe; команды: kerberoast, asreproast, s4u, ptt, tgtdeleg, monitor</t>
  </si>
  <si>
    <t>T1558.003 (Kerberoasting), T1558.004 (AS-REP), T1550.003 (PtT)</t>
  </si>
  <si>
    <t>4768, 4769 (Enc=0x17), 4624 LT=3</t>
  </si>
  <si>
    <t>Полный тулкит для работы с Kerberos: Kerberoasting, AS-REP Roasting, S4U2Self, Pass-the-Ticket. Автор — Will Schroeder (@harmj0y).</t>
  </si>
  <si>
    <t>Impacket (secretsdump)</t>
  </si>
  <si>
    <t>Python suite</t>
  </si>
  <si>
    <t>Cross-platform</t>
  </si>
  <si>
    <t>secretsdump.py, GetUserSPNs.py, GetNPUsers.py, ticketer.py</t>
  </si>
  <si>
    <t>T1003.006 (DCSync), T1558.003, T1558.004</t>
  </si>
  <si>
    <t>4662 (DCSync GUID), 4624 LT=3, 4769</t>
  </si>
  <si>
    <t>Набор Python-скриптов от Fortra/SecureAuth для работы с SMB/Kerberos/MSRPC. secretsdump — ключевой для DCSync с Linux.</t>
  </si>
  <si>
    <t>LaZagne</t>
  </si>
  <si>
    <t>Standalone (Py)</t>
  </si>
  <si>
    <t>Windows/Linux</t>
  </si>
  <si>
    <t>lazagne.exe, LaZagne.py</t>
  </si>
  <si>
    <t>T1555 (Credentials from Password Stores), T1555.003 (Browsers)</t>
  </si>
  <si>
    <t>4663 (доступ к Login Data, key3.db)</t>
  </si>
  <si>
    <t>Извлекает пароли из браузеров, Wi-Fi, RDP, mail-клиентов, Git и др. Популярен в post-exploitation.</t>
  </si>
  <si>
    <t>ProcDump (LSASS dump)</t>
  </si>
  <si>
    <t>Sysinternals</t>
  </si>
  <si>
    <t>procdump.exe, procdump64.exe; команда: procdump -ma lsass.exe lsass.dmp</t>
  </si>
  <si>
    <t>T1003.001 (LSASS Memory)</t>
  </si>
  <si>
    <t>4688 (procdump+lsass), 4663 (доступ к lsass.exe)</t>
  </si>
  <si>
    <t>Легитимный инструмент Sysinternals, используется для создания дампа LSASS без детектируемых паттернов mimikatz.</t>
  </si>
  <si>
    <t>Pypykatz</t>
  </si>
  <si>
    <t>Python</t>
  </si>
  <si>
    <t>pypykatz.exe, pypykatz lsa minidump lsass.dmp</t>
  </si>
  <si>
    <t>T1003.001</t>
  </si>
  <si>
    <t>(оффлайн анализ дампа)</t>
  </si>
  <si>
    <t>Python-реализация mimikatz: разбор дампа LSASS без запуска на Windows-хосте. Популярен у автономных red team.</t>
  </si>
  <si>
    <t>DSInternals</t>
  </si>
  <si>
    <t>powershell.exe с Import-Module DSInternals; Get-ADReplAccount, Get-ADDBAccount</t>
  </si>
  <si>
    <t>T1003.003 (NTDS), T1003.006 (DCSync)</t>
  </si>
  <si>
    <t>4662, 4104 (ScriptBlock)</t>
  </si>
  <si>
    <t>PowerShell-модуль для работы с NTDS.dit и репликации AD. Автор — Michael Grafnetter.</t>
  </si>
  <si>
    <t>Hashcat / John</t>
  </si>
  <si>
    <t>Cracking</t>
  </si>
  <si>
    <t>hashcat.exe, john.exe; режимы 13100 (TGS), 18200 (AS-REP), 1000 (NTLM)</t>
  </si>
  <si>
    <t>T1110.002 (Offline brute)</t>
  </si>
  <si>
    <t>(оффлайн — нет событий)</t>
  </si>
  <si>
    <t>Стандарт для offline-взлома хешей NTLM, NetNTLMv2, Kerberos TGS/AS-REP после Kerberoasting/Responder.</t>
  </si>
  <si>
    <t>Recon / Discovery</t>
  </si>
  <si>
    <t>BloodHound / SharpHound</t>
  </si>
  <si>
    <t>Standalone + UI</t>
  </si>
  <si>
    <t>Windows / Cross</t>
  </si>
  <si>
    <t>SharpHound.exe, SharpHound.ps1, bloodhound.py; .json/.zip файлы в выводе</t>
  </si>
  <si>
    <t>T1087.002, T1069.002, T1482 (Domain Trust)</t>
  </si>
  <si>
    <t>4661, 4662, 5145, 4624 LT=3 (много LDAP-запросов)</t>
  </si>
  <si>
    <t>Картирует привилегии в AD и находит пути к Domain Admin. Обязательный инструмент в любой AD-атаке.</t>
  </si>
  <si>
    <t>PowerView</t>
  </si>
  <si>
    <t>powershell.exe с Get-NetUser, Get-NetGroup, Find-LocalAdminAccess, Invoke-ShareFinder</t>
  </si>
  <si>
    <t>T1087.002, T1069.002, T1018, T1135</t>
  </si>
  <si>
    <t>4104 (ScriptBlock), 4662, 5145</t>
  </si>
  <si>
    <t>PowerShell-тулкит из PowerSploit для AD-recon. Часть функций вошла в BloodHound.</t>
  </si>
  <si>
    <t>ADRecon / PingCastle</t>
  </si>
  <si>
    <t>PowerShell / .NET</t>
  </si>
  <si>
    <t>ADRecon.ps1; PingCastle.exe</t>
  </si>
  <si>
    <t>T1087.002, T1482</t>
  </si>
  <si>
    <t>4662, 4104</t>
  </si>
  <si>
    <t>Аудит AD и выявление misconfig. Используют и блю-, и ред-команды.</t>
  </si>
  <si>
    <t>Nmap</t>
  </si>
  <si>
    <t>Network scanner</t>
  </si>
  <si>
    <t>nmap.exe, nmap; NSE-скрипты smb-*, ldap-*</t>
  </si>
  <si>
    <t>T1046 (Network Service Scanning)</t>
  </si>
  <si>
    <t>5156 (Filtering Platform), 5447 (всплеск SMB-подключений)</t>
  </si>
  <si>
    <t>Классика сетевого сканирования. Для SOC видны всплески SYN/connect на файрволе.</t>
  </si>
  <si>
    <t>PsExec (Sysinternals)</t>
  </si>
  <si>
    <t>psexec.exe, psexec64.exe, PSEXESVC.exe; ADMIN$, IPC$</t>
  </si>
  <si>
    <t>T1021.002, T1569.002, T1543.003</t>
  </si>
  <si>
    <t>5140, 4624 LT=3, 4672, 4697, 4688</t>
  </si>
  <si>
    <t>Legitimate утилита Sysinternals для удалённого исполнения. Активно используется всеми ransomware-группами.</t>
  </si>
  <si>
    <t>PAExec / SmbExec / WMIExec</t>
  </si>
  <si>
    <t>Standalone / Python</t>
  </si>
  <si>
    <t>paexec.exe; smbexec.py, wmiexec.py; службы PAEXEC, BTOBTO</t>
  </si>
  <si>
    <t>T1021.002, T1021.006</t>
  </si>
  <si>
    <t>5140, 4624 LT=3, 4697 (произвольные имена служб)</t>
  </si>
  <si>
    <t>Open-source аналоги PsExec из Impacket. Обходят сигнатуры psexec.exe.</t>
  </si>
  <si>
    <t>CrackMapExec / NetExec</t>
  </si>
  <si>
    <t>Python framework</t>
  </si>
  <si>
    <t>cme, nxc, crackmapexec; использует Impacket внутри</t>
  </si>
  <si>
    <t>T1110, T1021, T1003</t>
  </si>
  <si>
    <t>4625, 4776, 4624 LT=3, 5140</t>
  </si>
  <si>
    <t>«Швейцарский нож» для pentest AD: перебор паролей, PtH, dump, lateral movement. NetExec — форк после архивации CME.</t>
  </si>
  <si>
    <t>Evil-WinRM</t>
  </si>
  <si>
    <t>Ruby CLI</t>
  </si>
  <si>
    <t>evil-winrm; порт 5985/5986</t>
  </si>
  <si>
    <t>4624 LT=3, 4688 (wsmprovhost.exe), 4103/4104</t>
  </si>
  <si>
    <t>WinRM-клиент для удалённого shell и upload/download. Может PtH и PtT.</t>
  </si>
  <si>
    <t>RDPWrap / Sticky Keys backdoor</t>
  </si>
  <si>
    <t>Patch / Image hijack</t>
  </si>
  <si>
    <t>rdpwrap.dll, sethc.exe (заменён на cmd.exe), Image File Execution Options</t>
  </si>
  <si>
    <t>T1547.001 / T1546.008</t>
  </si>
  <si>
    <t>4657 (реестр), 4663 по sethc.exe, 1149</t>
  </si>
  <si>
    <t>Подмена sethc.exe (Sticky Keys) или utilman.exe на cmd.exe даёт SYSTEM-shell с экрана блокировки.</t>
  </si>
  <si>
    <t>C2 / Framework</t>
  </si>
  <si>
    <t>Cobalt Strike</t>
  </si>
  <si>
    <t>Commercial framework</t>
  </si>
  <si>
    <t>beacon.exe (DLL/EXE/shellcode); rundll32 с PIPE-именами msagent_*, postex_*</t>
  </si>
  <si>
    <t>T1059, T1055, T1071.001, T1090</t>
  </si>
  <si>
    <t>4688 (rundll32, regsvr32 без параметров), 5145, named pipes (Sysmon 17/18)</t>
  </si>
  <si>
    <t>Коммерческий red-team фреймворк, широко используется APT и ransomware. Beacon — основной имплант.</t>
  </si>
  <si>
    <t>Metasploit Framework</t>
  </si>
  <si>
    <t>Open-source framework</t>
  </si>
  <si>
    <t>msfconsole, msfvenom; meterpreter (впрыск в память)</t>
  </si>
  <si>
    <t>T1059, T1055</t>
  </si>
  <si>
    <t>4688, 4697, 4624 LT=3, Sysmon 7 (Image Load)</t>
  </si>
  <si>
    <t>Старейший open-source exploit framework. Meterpreter — флагман полезной нагрузки.</t>
  </si>
  <si>
    <t>Sliver</t>
  </si>
  <si>
    <t>Go framework</t>
  </si>
  <si>
    <t>sliver-server, sliver-client; implant с рандомными именами</t>
  </si>
  <si>
    <t>T1071, T1090, T1573</t>
  </si>
  <si>
    <t>4688, Sysmon 3 (Network), 4624 LT=3</t>
  </si>
  <si>
    <t>BishopFox open-source альтернатива Cobalt Strike. Растёт в популярности у киберпреступников.</t>
  </si>
  <si>
    <t>Brute Ratel C4</t>
  </si>
  <si>
    <t>badger.dll/exe; впрыск в LSASS и броузеры</t>
  </si>
  <si>
    <t>T1055, T1059, T1071</t>
  </si>
  <si>
    <t>Sysmon 8/10 (CreateRemoteThread, ProcessAccess), 4688</t>
  </si>
  <si>
    <t>C2 «для обхода EDR». Активно используется Conti/Quantum/BlackBasta.</t>
  </si>
  <si>
    <t>Empire / Starkiller</t>
  </si>
  <si>
    <t>PowerShell / Python framework</t>
  </si>
  <si>
    <t>empire, powershell.exe с base64/encoded пайлоадом</t>
  </si>
  <si>
    <t>T1059.001, T1027</t>
  </si>
  <si>
    <t>4103, 4104 (Encoded), 4688</t>
  </si>
  <si>
    <t>Post-exploitation framework на PowerShell/Python. Исторически популярен у APT-групп.</t>
  </si>
  <si>
    <t>Havoc / Mythic</t>
  </si>
  <si>
    <t>Modern OSS framework</t>
  </si>
  <si>
    <t>havoc, mythic; модульные агенты (Apollo, Athena, Poseidon)</t>
  </si>
  <si>
    <t>T1059, T1071, T1090</t>
  </si>
  <si>
    <t>Sysmon 1/3/7, 4688</t>
  </si>
  <si>
    <t>Современные OSS C2 с фокусом на evasion и модульность.</t>
  </si>
  <si>
    <t>SharPersist</t>
  </si>
  <si>
    <t>C# / .NET</t>
  </si>
  <si>
    <t>SharPersist.exe; создание schtask/registry/startup</t>
  </si>
  <si>
    <t>T1053.005, T1547.001, T1037</t>
  </si>
  <si>
    <t>4698, 4657 (Registry Run keys), 4688</t>
  </si>
  <si>
    <t>Mandiant-инструмент для Windows-persistence: schtasks, registry, startup folder, services.</t>
  </si>
  <si>
    <t>Sliver Implant</t>
  </si>
  <si>
    <t>Implant (Go)</t>
  </si>
  <si>
    <t>случайные имена служб/файлов; mTLS/HTTP/DNS C2</t>
  </si>
  <si>
    <t>T1543.003, T1547, T1071</t>
  </si>
  <si>
    <t>7045/4697, 4688 (родитель services.exe)</t>
  </si>
  <si>
    <t>Sliver при закреплении создаёт service/scheduled task. См. также в C2.</t>
  </si>
  <si>
    <t>DSRM / Golden Ticket / Silver Ticket</t>
  </si>
  <si>
    <t>Техника (Mimikatz/Rubeus)</t>
  </si>
  <si>
    <t>Windows AD</t>
  </si>
  <si>
    <t>mimikatz kerberos::golden; rubeus.exe asktgt /ticket:...</t>
  </si>
  <si>
    <t>T1558.001 (Golden), T1558.002 (Silver), T1003.003 (DSRM)</t>
  </si>
  <si>
    <t>4769 (аномальные TGS), 4624 от несуществующего юзера</t>
  </si>
  <si>
    <t>Долгосрочный backdoor в AD. Golden Ticket = 10 лет валидности. Лечится двукратной сменой krbtgt.</t>
  </si>
  <si>
    <t>Invoke-Obfuscation</t>
  </si>
  <si>
    <t>powershell.exe с обфусцированными командами (Base64, char-codes, string-join)</t>
  </si>
  <si>
    <t>T1027, T1059.001, T1140</t>
  </si>
  <si>
    <t>4104 (ScriptBlock — видим даже деобфусцированный код)</t>
  </si>
  <si>
    <t>Обфускатор PS-скриптов от Daniel Bohannon. Для SOC — включать ScriptBlock logging и анализировать энтропию.</t>
  </si>
  <si>
    <t>Donut / sRDI</t>
  </si>
  <si>
    <t>Shellcode generator</t>
  </si>
  <si>
    <t>Преобразует .NET/.exe в position-independent shellcode для in-memory запуска</t>
  </si>
  <si>
    <t>T1055 (Process Injection), T1027.011</t>
  </si>
  <si>
    <t>Sysmon 8/10/25 (требуется); 4688 без файла на диске</t>
  </si>
  <si>
    <t>Reflective loader — исполнение без дропа файла на диск, обход AMSI/AV. Дефолт в Cobalt/Sliver.</t>
  </si>
  <si>
    <t>GMER / PCHunter (rootkit-тулы)</t>
  </si>
  <si>
    <t>gmer.exe, pchunter.exe; инъекция в ядро</t>
  </si>
  <si>
    <t>T1014 (Rootkit), T1562.001</t>
  </si>
  <si>
    <t>4673 (аудит привилегированных вызовов), 4697 (драйвер-служба)</t>
  </si>
  <si>
    <t>Изначально антируткит-тулы, но используются и для отключения EDR. Смотреть драйвер-службы.</t>
  </si>
  <si>
    <t>BYOVD (Bring Your Own Vulnerable Driver)</t>
  </si>
  <si>
    <t>Техника</t>
  </si>
  <si>
    <t>RTCore64.sys, mhyprot2.sys, gdrv.sys, kprocesshacker.sys</t>
  </si>
  <si>
    <t>T1068, T1014</t>
  </si>
  <si>
    <t>7045/4697 (Service install), 4688 (sc.exe create), файл .sys в ProgramData</t>
  </si>
  <si>
    <t>Загрузка легитимного (но уязвимого) подписанного драйвера для отключения EDR. Примеры: BlackByte, Cuba, LockBit.</t>
  </si>
  <si>
    <t>Ransomware / Impact</t>
  </si>
  <si>
    <t>LockBit / BlackCat (ALPHV) / Conti / Royal</t>
  </si>
  <si>
    <t>RaaS (Ransomware-as-a-Service)</t>
  </si>
  <si>
    <t>Windows / Linux / ESXi</t>
  </si>
  <si>
    <t>случайные .exe в ProgramData/Temp; ransom note (HOW_TO_DECRYPT.txt, restore-my-files.txt); расширения .lockbit, .royal, .conti</t>
  </si>
  <si>
    <t>T1486 (Encrypt), T1490 (Inhibit Recovery), T1489 (Service Stop)</t>
  </si>
  <si>
    <t>4688 (vssadmin/bcdedit/wbadmin), 4663 (массовый Write), 7045 (служба), 4697</t>
  </si>
  <si>
    <t>Основные RaaS семейства. Паттерн: vssadmin delete shadows + bcdedit + wbadmin + шторм файлов (см. Storyline 14).</t>
  </si>
  <si>
    <t>Ransomware / Tools</t>
  </si>
  <si>
    <t>PCHunter / Process Hacker / KillAV</t>
  </si>
  <si>
    <t>Tools</t>
  </si>
  <si>
    <t>ProcessHacker.exe, pchunter.exe, kavremover.exe; sc stop для служб AV</t>
  </si>
  <si>
    <t>T1562.001 (Disable Defenses)</t>
  </si>
  <si>
    <t>4688 (sc stop), 4689 (остановка процессов AV), 7036 (Service Control Manager)</t>
  </si>
  <si>
    <t>Предварительный шаг перед разворачиванием ransomware. Просматривать остановку служб Defender/Sophos/Kaspersky.</t>
  </si>
  <si>
    <t>Exfiltration</t>
  </si>
  <si>
    <t>Rclone / MEGAcmd / FileZilla</t>
  </si>
  <si>
    <t>Legit transfer tools (abuse)</t>
  </si>
  <si>
    <t>rclone.exe, MEGAclient.exe, filezilla.exe; rclone.conf в AppData/Roaming</t>
  </si>
  <si>
    <t>T1567.002 (Exfil to Cloud), T1048</t>
  </si>
  <si>
    <t>5156 (Filtering Platform Connection), 4688 (командная строка), Sysmon 22 (DNS к mega.nz, dropbox)</t>
  </si>
  <si>
    <t>Любимые инструменты ransomware-групп для вывода данных. Rclone часто видно в журнале 4688 с параметрами mega:/dropbox:.</t>
  </si>
  <si>
    <t>WinRAR / 7-Zip (паковка для exfil)</t>
  </si>
  <si>
    <t>LOLBin (легит с abuse)</t>
  </si>
  <si>
    <t>rar.exe, 7z.exe с паролем (-hp); большие .rar/.7z в Temp/AppData</t>
  </si>
  <si>
    <t>T1560.001 (Archive Collected Data)</t>
  </si>
  <si>
    <t>4688 CommandLine с -hp, -r, -m5, -v100m</t>
  </si>
  <si>
    <t>Сжатие данных с паролем перед выводом. Частый паттерн Conti/LockBit — разбивать на томы по 100MB для обхода DLP.</t>
  </si>
  <si>
    <t>Exfiltration / C2</t>
  </si>
  <si>
    <t>Ngrok / Chisel / SoftEther / Anydesk</t>
  </si>
  <si>
    <t>Tunneling / Remote Access</t>
  </si>
  <si>
    <t>ngrok.exe, chisel.exe, AnyDesk.exe (часто в ProgramData/Temp — не в Program Files!)</t>
  </si>
  <si>
    <t>T1572 (Protocol Tunneling), T1219 (Remote Access)</t>
  </si>
  <si>
    <t>5156 к *.ngrok.io, *.tunnel; 4688 с portable-именами</t>
  </si>
  <si>
    <t>AnyDesk в portable-режиме — фаворит ransomware-групп. Ngrok/Chisel — для обхода NAT и туннелей.</t>
  </si>
  <si>
    <t>LOLBins / LOLBAS</t>
  </si>
  <si>
    <t>PowerShell (powershell.exe / pwsh.exe)</t>
  </si>
  <si>
    <t>Native</t>
  </si>
  <si>
    <t>powershell.exe -nop -w hidden -enc &lt;base64&gt;; -ExecutionPolicy Bypass; IEX (New-Object Net.WebClient).DownloadString</t>
  </si>
  <si>
    <t>4104 (ScriptBlock), 4103 (Module), 4688 с -enc/-EncodedCommand</t>
  </si>
  <si>
    <t>Самый частый LOLBin. Обязательно включать Script Block Logging (4104) и Module Logging.</t>
  </si>
  <si>
    <t>rundll32 / regsvr32 / mshta</t>
  </si>
  <si>
    <t>rundll32.exe url.dll,OpenURL; regsvr32 /s /n /u /i:http://..., mshta.exe http://...; mshta vbscript:...</t>
  </si>
  <si>
    <t>T1218.011, T1218.010, T1218.005</t>
  </si>
  <si>
    <t>4688 с URL/HTTP в CommandLine; ChildProcess = powershell/cmd</t>
  </si>
  <si>
    <t>Классические Signed Binary Proxy Execution. Обход AppLocker.</t>
  </si>
  <si>
    <t>certutil / bitsadmin / curl</t>
  </si>
  <si>
    <t>certutil -urlcache -split -f http://...; bitsadmin /transfer; curl.exe -o</t>
  </si>
  <si>
    <t>T1105 (Ingress Tool Transfer)</t>
  </si>
  <si>
    <t>4688 CommandLine с -urlcache/-transfer/http</t>
  </si>
  <si>
    <t>Скачивание второй ступени. certutil — вечный фаворит.</t>
  </si>
  <si>
    <t>wmic / schtasks / at</t>
  </si>
  <si>
    <t>wmic process call create; schtasks /create /tn ... /tr ...; at \\HOST</t>
  </si>
  <si>
    <t>T1047, T1053.005</t>
  </si>
  <si>
    <t>4688, 4698 (создание задачи), 4624 LT=3</t>
  </si>
  <si>
    <t>Легитные админские инструменты. wmic удалён sinceWindows 11/Server 2022, но всё ещё попадается.</t>
  </si>
  <si>
    <t>msbuild / installutil / dotnet</t>
  </si>
  <si>
    <t>.NET trust</t>
  </si>
  <si>
    <t>MSBuild.exe payload.xml; installutil /U; dotnet.exe path\malicious.dll</t>
  </si>
  <si>
    <t>T1127.001 (MSBuild), T1218.004 (InstallUtil)</t>
  </si>
  <si>
    <t>4688 с .xml/.csproj/.dll в аргументах; AMSI bypass</t>
  </si>
  <si>
    <t>Компиляция и выполнение .NET кода «в памяти» — обход AV без выхода PE на диск.</t>
  </si>
  <si>
    <t>ligolo-ng</t>
  </si>
  <si>
    <t>Tunneling / Pivot</t>
  </si>
  <si>
    <t>Cross-platform (Go)</t>
  </si>
  <si>
    <t>agent.exe / agent (Linux); proxy на C2; виртуальный интерфейс tun на стороне атакующего</t>
  </si>
  <si>
    <t>T1090.001 (Internal Proxy), T1572 (Protocol Tunneling)</t>
  </si>
  <si>
    <t>5156 (Filtering Platform) — исходящие TLS с промежуточных хостов; 4688 с agent.exe в Temp/ProgramData; долгие TLS-сессии на нестандартные порты</t>
  </si>
  <si>
    <t>Reverse-tunneling инструмент нового поколения: агент на жертве подключается к C2, атакующий получает tun-интерфейс прямо в внутреннюю сеть. Активно используется red-team и APT. Сложнее в детекте чем chisel — нет HTTP CONNECT, чистый TLS.</t>
  </si>
  <si>
    <t>AdaptixC2</t>
  </si>
  <si>
    <t>OSS C2 framework (Go + QT)</t>
  </si>
  <si>
    <t>Cross-platform (агенты: Windows/Linux)</t>
  </si>
  <si>
    <t>Extender-агенты: gopher.exe / beacon-подобные импланты; QT-GUI у оператора; HTTP/SMB/TCP-listeners</t>
  </si>
  <si>
    <t>T1059, T1071.001, T1090, T1573 (Encrypted Channel), T1055</t>
  </si>
  <si>
    <t>4688 (агент в Temp/AppData), Sysmon 1/3/7/17/18 (named pipes), 5156 — HTTPS на нестандартных портах, beaconing-интервалы</t>
  </si>
  <si>
    <t>Новый OSS-фреймворк в стиле Cobalt Strike, с расширяемой архитектурой (Extenders — плагины для имплантов и BOF). Стремительно растёт в популярности в 2024-2025. Детектировать как Cobalt Strike: jitter beaconing, malleable profiles, named pipes в латеральных перемещениях.</t>
  </si>
  <si>
    <t>HackBrowserData</t>
  </si>
  <si>
    <t>Standalone (Go)</t>
  </si>
  <si>
    <t>Windows / macOS / Linux</t>
  </si>
  <si>
    <t>Кросс-платформенный инструмент для дешифрования и экспорта данных из браузеров: пароли, cookies, history, bookmarks, данные карт, расширения. Поддерживает Chrome, Edge, Firefox, Brave, Yandex, Opera, Vivaldi и десятки других. Популярен у stealer-операторов и red-team в kaчестве быстрого «loot»-модуля.</t>
  </si>
  <si>
    <t>hack-browser-data.exe / HackBrowserData.exe; вывод: results/*.csv (chrome_passwords.csv, edge_cookies.csv, *_history.csv, *_creditcards.csv). Читает: %LocalAppData%\Google\Chrome\User Data\Local State и \Default\Login Data / Cookies / History / Web Data</t>
  </si>
  <si>
    <t>T1555.003 (Credentials from Web Browsers), T1539 (Steal Web Session Cookie), T1005 (Data from Local System)</t>
  </si>
  <si>
    <t>4663 с ObjectName=*\Chrome\User Data\* OR *\Edge\User Data\* OR *\Mozilla\Firefox\* (вкл. Login Data, Cookies, Web Data, Local State); 4688 hack-browser-data.exe; Sysmon 11 — создание results/*.csv; Sysmon 10 — доступ к chrome.exe для DPAPI master key</t>
  </si>
  <si>
    <t>Оглавление и навигация по листам книги</t>
  </si>
  <si>
    <t>ОГЛАВЛЕНИЕ</t>
  </si>
  <si>
    <t>Блок</t>
  </si>
  <si>
    <t>Лист</t>
  </si>
  <si>
    <t>О чём</t>
  </si>
  <si>
    <t>Размер</t>
  </si>
  <si>
    <t>Кому полезно</t>
  </si>
  <si>
    <t>SOC L1–L2, IR</t>
  </si>
  <si>
    <t>IR, threat hunting</t>
  </si>
  <si>
    <t>9 стр.</t>
  </si>
  <si>
    <t>SOC, hunting</t>
  </si>
  <si>
    <t>Доступ к объектам: 4656, 4657, 4660, 4663, 4670, 4673, 4674, 4719, 5140, 5145, 5156. Нужно для exfil/ransomware/file-monitoring.</t>
  </si>
  <si>
    <t>17 стр.</t>
  </si>
  <si>
    <t>DFIR, DLP</t>
  </si>
  <si>
    <t>8 стр.</t>
  </si>
  <si>
    <t>IR, blue team</t>
  </si>
  <si>
    <t>RDP-специфика: 1149, 4624 LT=10, 4778, 4779, 1158, 1024. Lateral movement внутри периметра.</t>
  </si>
  <si>
    <t>SOC, IR</t>
  </si>
  <si>
    <t>Sysmon ID 1–29: process create, network, image load, named pipes, DNS, WMI, file create. Глубокий endpoint-аудит.</t>
  </si>
  <si>
    <t>31 стр.</t>
  </si>
  <si>
    <t>Hunting, EDR</t>
  </si>
  <si>
    <t>PowerShell-аудит и discovery: 4103 (Module), 4104 (ScriptBlock), 4105/4106.</t>
  </si>
  <si>
    <t>Credential Access / Lateral Movement</t>
  </si>
  <si>
    <t>Pass-the-Cert (PKINIT)</t>
  </si>
  <si>
    <t>4886/4887 (CA) → 4768 (Cert Info) → 4769 → 4624 LT=3</t>
  </si>
  <si>
    <t>TA0006+TA0008 / T1550.003, T1649</t>
  </si>
  <si>
    <t>Аутентификация по украденному/подделанному сертификату через PKINIT — обход смены пароля</t>
  </si>
  <si>
    <t>4768 Certificate Issuer Name заполнен; выдача сертификата (4886/4887) с правом Client Auth для обычного юзера; UPN в SAN отличается от Subject</t>
  </si>
  <si>
    <t>Storyline 15: Pass-the-Cert / PKINIT abuse</t>
  </si>
  <si>
    <t>Resource Discovery</t>
  </si>
  <si>
    <t>Перечисление ADCS-шаблонов (Certify, certipy enumerate) — поиск vulnerable templates (ESC1–ESC11)</t>
  </si>
  <si>
    <t>ObjectType=pKICertificateTemplate; SubjectUserName — обычный юзер; много LDAP-запросов к CN=Certificate Templates</t>
  </si>
  <si>
    <t>T1087.002</t>
  </si>
  <si>
    <t>EventCode=4662 ObjectName=*Certificate*Templates* NOT SubjectUserName=*$</t>
  </si>
  <si>
    <t>Certificate Request</t>
  </si>
  <si>
    <t>Запрос сертификата на CA (с SAN/UPN жертвы — ESC1)</t>
  </si>
  <si>
    <t>Requester — одна учётка, SAN/UPN в запросе — другая (часто — Domain Admin); Template Name — один из уязвимых</t>
  </si>
  <si>
    <t>EventCode=4886 (Лог Application: Certification Authority); алерт если Requester ≠ SAN.UPN</t>
  </si>
  <si>
    <t>Certificate Issued</t>
  </si>
  <si>
    <t>CA выдала сертификат с EKU Client Authentication</t>
  </si>
  <si>
    <t>Disposition=Issued; Certificate Hash — записываем в baseline для дальнейшего сопоставления</t>
  </si>
  <si>
    <t>EventCode=4887 (CA log) | stats values(SAN) by Requester | where Requester!=SAN</t>
  </si>
  <si>
    <t>PKINIT Pre-Auth</t>
  </si>
  <si>
    <t>TGT запрошен с PKINIT — в 4768 заполнен Certificate Issuer/Serial/Thumbprint</t>
  </si>
  <si>
    <t>Certificate Issuer Name и Certificate Serial Number заполнены (обычно эти поля пусты!); IP клиента — внутренний, не DC; время — вблизи 4886/4887</t>
  </si>
  <si>
    <t>T1550.003</t>
  </si>
  <si>
    <t>EventCode=4768 "Certificate Issuer Name"!="-" NOT IpAddress IN (DC_list) | stats count by TargetUserName, CertificateSerialNumber, IpAddress</t>
  </si>
  <si>
    <t>Lateral / Privilege Use</t>
  </si>
  <si>
    <t>4769 → 4624</t>
  </si>
  <si>
    <t>TGS на сервисы и вход LogonType=3 под именем жертвы (часто — Domain Admin)</t>
  </si>
  <si>
    <t>TargetUserName из 4624 = UPN из сертификата; LogonId связан с 4768/PKINIT</t>
  </si>
  <si>
    <t>EventCode=4624 LogonType=3 AuthenticationPackageName=Kerberos | join LogonId [search EventCode=4768 CertificateSerial=*]</t>
  </si>
  <si>
    <t>4886→4887→4768</t>
  </si>
  <si>
    <t>Выдача сертификата с «чужим» SAN + быстрый PKINIT-вход под этим именем</t>
  </si>
  <si>
    <t>Окно: 30 мин от выдачи до PKINIT-входа; особенно опасно для Tier-0 учёток</t>
  </si>
  <si>
    <t>TA0006+TA0008</t>
  </si>
  <si>
    <t>((EventCode=4887) OR (EventCode=4768 CertificateSerialNumber=*)) | transaction TargetUserName maxspan=30m | where match(EventCodes,"4887") AND match(EventCodes,"4768")</t>
  </si>
  <si>
    <t>PowerUp (PowerSploit)</t>
  </si>
  <si>
    <t>PowerShell-модуль из PowerSploit для поиска путей локальной эскалации привилегий: небезопасные права на службы, некавыченные пути (unquoted service paths), запись в бинарях служб, AlwaysInstallElevated, DLL hijacking, slabые ACL в реестре. Классика Windows-privesc рекона.</t>
  </si>
  <si>
    <t>powershell.exe с Invoke-AllChecks, Get-ModifiableServiceFile, Get-UnattendedInstallFile, Get-RegistryAlwaysInstallElevated, Get-ModifiablePath, Find-PathDLLHijack</t>
  </si>
  <si>
    <t>T1068, T1548.002, T1574.001 (DLL Hijack), T1574.009 (Path Interception), T1543.003</t>
  </si>
  <si>
    <t>4104 (ScriptBlock) — имена функций Invoke-AllChecks/Get-Modifiable*; 4103 (Module); 4688 powershell.exe; подвисающее 4656/4663 по файлам служб</t>
  </si>
  <si>
    <t>ID / Тип</t>
  </si>
  <si>
    <t>Источник / Лог</t>
  </si>
  <si>
    <t>T1078, T1110, T1021.004</t>
  </si>
  <si>
    <t>https://access.redhat.com/articles/4409591</t>
  </si>
  <si>
    <t>USER_AUTH (1100)</t>
  </si>
  <si>
    <t>auditd</t>
  </si>
  <si>
    <t>T1110.001, T1110.003, T1110.004</t>
  </si>
  <si>
    <t>USER_ACCT (1101)</t>
  </si>
  <si>
    <t>USER_CMD (1123)</t>
  </si>
  <si>
    <t>Запуск команды через sudo (с фиксацией cmdline)</t>
  </si>
  <si>
    <t>Регистрируется при вызове sudo: содержит ПОЛНУЮ командную строку, рабочий каталог, исходного и целевого пользователя. Главное событие для аудита привилегированных действий.</t>
  </si>
  <si>
    <t>• sudo -i / sudo su - (получение root shell)
• Запуск sudo от не-админских пользователей
• Использование GTFOBins (vim, find, awk -&gt; shell)
• sudo с NOPASSWD неожиданными пользователями
• Редактирование /etc/sudoers, /etc/shadow, /etc/passwd через sudo</t>
  </si>
  <si>
    <t>• Легитимная админская работа
• Privilege escalation через sudo misconfig
• Lateral movement
• Persistence (правка cron, systemd)</t>
  </si>
  <si>
    <t>T1548.003, T1078.003, T1059.004</t>
  </si>
  <si>
    <t>msg, cwd, cmd, terminal, res, UID-&gt;auid, AUID, exe (sudo)</t>
  </si>
  <si>
    <t>https://www.sudo.ws/docs/man/sudoers.man/</t>
  </si>
  <si>
    <t>index=linux type=USER_CMD
  cmd IN ("*vi *", "*vim *", "*find * -exec*", "*awk *system*", "*/bin/sh*", "*/bin/bash*")
| table _time, host, auid, acct, cwd, cmd</t>
  </si>
  <si>
    <t>CRED_REFR (sudo обновляет cache)
USER_START (новая сессия)
EXECVE (auditd execve через -k priv)
sudo journald "COMMAND=..."</t>
  </si>
  <si>
    <t>Управление учётками</t>
  </si>
  <si>
    <t>ADD_USER (1105) / DEL_USER (1107)</t>
  </si>
  <si>
    <t>Создание / удаление пользователя в системе</t>
  </si>
  <si>
    <t>useradd/adduser и userdel регистрируются PAM-модулями. Рядом всегда идёт USER_MGMT с деталями операции.</t>
  </si>
  <si>
    <t>• Создание учётки с UID=0 вне root
• Создание бэкдор-учётки (toor, system, www-data2)
• Добавление пользователя в нерабочее время
• Удаление пользователей (сокрытие следов)</t>
  </si>
  <si>
    <t>• Онбординг/офбординг
• Persistence через backdoor account
• Анти-форензика</t>
  </si>
  <si>
    <t>T1136.001, T1098, T1531</t>
  </si>
  <si>
    <t>id (new uid), acct, auid, exe (useradd/userdel), res</t>
  </si>
  <si>
    <t>index=linux type IN (ADD_USER, DEL_USER, USER_MGMT)
| table _time, host, type, auid, acct, id, exe, res</t>
  </si>
  <si>
    <t>USER_CHAUTHTOK (установка пароля)
GRP_MGMT (в sudo/wheel)
WATCH /etc/passwd, /etc/shadow</t>
  </si>
  <si>
    <t>Создание/удаление группы, изменение членства</t>
  </si>
  <si>
    <t>Проверяет добавление пользователей в высокопривилегированные группы: sudo, wheel, adm, docker, lxd, disk.</t>
  </si>
  <si>
    <t>• Добавление в sudo/wheel — полный root
• Добавление в docker/lxd — эквивалент root
• Добавление в disk/shadow — чтение всех файлов
• Неожиданные GID=0</t>
  </si>
  <si>
    <t>• Легитимные изменения ролей
• Privilege escalation через group membership
• Container escape (docker group)</t>
  </si>
  <si>
    <t>T1098, T1136, T1611</t>
  </si>
  <si>
    <t>grp, id (gid), acct, auid, exe (groupadd/usermod -aG), res</t>
  </si>
  <si>
    <t>index=linux type IN (GRP_MGMT, ADD_GROUP)
  grp IN ("sudo","wheel","docker","lxd","disk","shadow","adm")
| table _time, host, auid, acct, grp, exe</t>
  </si>
  <si>
    <t>ADD_USER/USER_MGMT
USER_CMD (usermod -aG в sudo)</t>
  </si>
  <si>
    <t>SSH</t>
  </si>
  <si>
    <t>Process / Execution</t>
  </si>
  <si>
    <t>EXECVE (1309) + SYSCALL (1300)</t>
  </si>
  <si>
    <t>Запуск процесса (вызов execve/execveat)</t>
  </si>
  <si>
    <t>• Обратные shell-ы: bash -i, nc -e, python -c 'pty'
• Скачивание и исполнение: wget|curl ... | sh
• LOLBins: awk, perl, vim, find -exec, env
• base64 -d | bash, /tmp/* исполнение
• chmod +s, chattr +i
• Контейнерные escape: nsenter, unshare, mount</t>
  </si>
  <si>
    <t>• Выполнение вредоносного ПО
• Пост-эксплуатация
• Discovery (whoami, id, uname, ip a, ss)
• Разведка и lateral movement</t>
  </si>
  <si>
    <t>T1059.004, T1059.006, T1204, T1106</t>
  </si>
  <si>
    <t>syscall, pid, ppid, uid, auid, exe, comm, cwd, argc, a0..aN, success, key</t>
  </si>
  <si>
    <t>SYSCALL (контекст)
PROCTITLE (реальный cmdline)
PATH (бинарь)
USER_CMD (если через sudo)</t>
  </si>
  <si>
    <t>PROCTITLE (1327)</t>
  </si>
  <si>
    <t>File System</t>
  </si>
  <si>
    <t>Kernel</t>
  </si>
  <si>
    <t>auditd (SYSCALL)</t>
  </si>
  <si>
    <t>Загрузка/выгрузка модуля ядра</t>
  </si>
  <si>
    <t>Сисвызовы init_module (175), finit_module (313), delete_module (176). Требуют правила вида -a always,exit -S init_module -S finit_module -k module_load. Альтернативно: KERN_MODULE в dmesg/journald.</t>
  </si>
  <si>
    <t>• Загрузка неподписанных модулей
• Модули из /tmp, /home, /dev/shm
• Модули с именами руткитов (Diamorphine, Reptile)
• Выгрузка безопасностных модулей</t>
  </si>
  <si>
    <t>• Kernel rootkit инсталл
• Вредоносный LKM
• eBPF-backdoor (иногда через bpf() syscall)
• Обычная загрузка драйвера при буте</t>
  </si>
  <si>
    <t>T1547.006, T1014, T1601.001</t>
  </si>
  <si>
    <t>syscall (175/313), exe, name (путь к .ko из PATH), comm (insmod/modprobe)</t>
  </si>
  <si>
    <t>https://man7.org/linux/man-pages/man2/init_module.2.html</t>
  </si>
  <si>
    <t>EXECVE (insmod/modprobe/kmod)
PATH (.ko)
KERN_MODULE
Sysmon for Linux event 25</t>
  </si>
  <si>
    <t>WATCH /etc/cron* + EXECVE crond</t>
  </si>
  <si>
    <t>Изменения в cron и systemd-юнитах</t>
  </si>
  <si>
    <t>Отслеживается через -w /etc/crontab -p wa -k cron, -w /etc/cron.d/, /etc/cron.daily/, /etc/cron.hourly/, /var/spool/cron/, /etc/systemd/system/, /etc/init.d/, /etc/rc*.d/.</t>
  </si>
  <si>
    <t>• Новые cron задания с вызовами curl/wget/bash
• Модификация /var/spool/cron/crontabs/root
• Создание service-юнитов в /etc/systemd/system/ с ExecStart в /tmp
• Изменение ~/.bashrc, ~/.bash_profile, /etc/profile.d/
• LD_PRELOAD в /etc/environment</t>
  </si>
  <si>
    <t>• Persistence
• Автозапуск криптомайнеров
• Backdoor</t>
  </si>
  <si>
    <t>T1053.003, T1543.002, T1546.004, T1574.006</t>
  </si>
  <si>
    <t>name (путь), syscall (rename/open), exe, auid, key=cron/systemd</t>
  </si>
  <si>
    <t>https://man7.org/linux/man-pages/man8/crond.8.html</t>
  </si>
  <si>
    <t>index=linux type=PATH key IN ("cron","systemd","shell_profile")
  nametype IN ("CREATE","NORMAL")
  NOT exe IN ("/usr/sbin/crond","/usr/bin/systemctl")
| table _time, host, auid, exe, name, nametype</t>
  </si>
  <si>
    <t>EXECVE (crontab -e)
USER_CMD (sudo systemctl)
service_start/stop</t>
  </si>
  <si>
    <t>DAEMON_START (1801), DAEMON_END (1802), DAEMON_ABORT (1803), CONFIG_CHANGE (1305), DAEMON_RECONFIG (1804). Критически важны — атакующий первым делом пытается вырубить аудит.</t>
  </si>
  <si>
    <t>• DAEMON_END вне окна обслуживания
• CONFIG_CHANGE с уменьшением правил
• auditctl -D (удаление всех правил)
• Остановка службы auditd через systemctl</t>
  </si>
  <si>
    <t>• Anti-forensics
• Сокрытие активности
• Легитимный рестарт при обновлении правил</t>
  </si>
  <si>
    <t>T1562.001, T1562.006, T1070</t>
  </si>
  <si>
    <t>type, auid, ses, res, op</t>
  </si>
  <si>
    <t>index=linux type IN (DAEMON_END, DAEMON_ABORT, CONFIG_CHANGE)
| table _time, host, type, auid, op, res</t>
  </si>
  <si>
    <t>EXECVE (auditctl, systemctl stop auditd)
USER_CMD (sudo systemctl)
SYSCALL (kill auditd pid)</t>
  </si>
  <si>
    <t>Anomaly</t>
  </si>
  <si>
    <t>ANOM_PROMISCUOUS / ANOM_ABEND</t>
  </si>
  <si>
    <t>CAPSET / chmod +s</t>
  </si>
  <si>
    <t>Изменение capabilities и SUID-битов</t>
  </si>
  <si>
    <t>SYSCALL capset (126), chmod/fchmod с mode, содержащим 04000/02000 (suid/sgid). Отслеживается правилом -a always,exit -F arch=b64 -S chmod,fchmod,fchmodat -F a1&amp;04000 -k suid_change.</t>
  </si>
  <si>
    <t>• chmod +s на /tmp/*, /dev/shm/*, ~/* бинарях
• Создание SUID-копии bash, dash, python, perl
• setcap cap_setuid+ep на подозрительных бинарях</t>
  </si>
  <si>
    <t>• SUID backdoor (privilege escalation persistence)
• GTFOBins post-exploitation
• Обход политики паролей</t>
  </si>
  <si>
    <t>T1548.001, T1574</t>
  </si>
  <si>
    <t>syscall, exe, name, mode, key=suid_change</t>
  </si>
  <si>
    <t>https://man7.org/linux/man-pages/man7/capabilities.7.html</t>
  </si>
  <si>
    <t>index=linux type=SYSCALL syscall IN (90,268,452) success=yes
| where like(name,"/tmp/%") OR like(name,"/home/%") OR like(name,"/dev/shm/%")
| table _time, host, auid, exe, name, mode</t>
  </si>
  <si>
    <t>EXECVE (chmod, setcap)
PATH (целевой файл)</t>
  </si>
  <si>
    <t>MAC / SELinux</t>
  </si>
  <si>
    <t>AVC (1400) / MAC_STATUS (1413)</t>
  </si>
  <si>
    <t>SELinux/AppArmor: отказы доступа, изменение режима</t>
  </si>
  <si>
    <t>AVC — каждый denied/granted, MAC_STATUS — вкл/выкл enforcing/permissive. Для Ubuntu аналог — APPARMOR_DENIED, APPARMOR_STATUS.</t>
  </si>
  <si>
    <t>• MAC_STATUS с переходом enforcing→permissive (setenforce 0)
• Массовые AVC denied по одному процессу — попытка обхода
• Изменение контекста с сервисного на unconfined_t</t>
  </si>
  <si>
    <t>• Defense evasion
• Exploitation пытается пробиться через MAC
• Легитимный troubleshooting</t>
  </si>
  <si>
    <t>T1562.001, T1562.003</t>
  </si>
  <si>
    <t>scontext, tcontext, tclass, perm (avc); enforcing, op (mac_status)</t>
  </si>
  <si>
    <t>index=linux type=MAC_STATUS enforcing=0
| table _time, host, auid, op, enforcing</t>
  </si>
  <si>
    <t>USER_CMD (setenforce, aa-disable)
EXECVE (semanage, semodule)
CONFIG_CHANGE</t>
  </si>
  <si>
    <t>NETFILTER_CFG (1325)</t>
  </si>
  <si>
    <t>Изменение правил iptables/nftables</t>
  </si>
  <si>
    <t>• iptables -F (flush всех правил)
• Новые ACCEPT правила для высоких портов
• Отключение firewalld/ufw
• Новые DNAT/MASQUERADE правила (tunneling)</t>
  </si>
  <si>
    <t>• Легитимная настройка
• Defense evasion
• Открытие канала C2</t>
  </si>
  <si>
    <t>T1562.004, T1090</t>
  </si>
  <si>
    <t>table, family, entries, op</t>
  </si>
  <si>
    <t>https://man7.org/linux/man-pages/man8/iptables.8.html</t>
  </si>
  <si>
    <t>index=linux type=NETFILTER_CFG
| table _time, host, auid, table, family</t>
  </si>
  <si>
    <t>EXECVE (iptables/nft/firewall-cmd)
USER_CMD (через sudo)</t>
  </si>
  <si>
    <t>Sysmon for Linux</t>
  </si>
  <si>
    <t>Sysmon for Linux (syslog)</t>
  </si>
  <si>
    <t>• Event 1 с Image=/tmp/* или ParentImage=httpd
• Event 3 к IP из TI-фидов
• Event 11 с TargetFilename=/etc/cron*, /etc/systemd/*, *.ssh/authorized_keys
• Event 25 — всегда подозрительно (подмена памяти процесса)</t>
  </si>
  <si>
    <t>T1055, T1059.004, T1071, T1547</t>
  </si>
  <si>
    <t>EventID, Image, ParentImage, CommandLine, Hashes, User, ProcessGuid, DestinationIp/Port</t>
  </si>
  <si>
    <t>https://github.com/Sysinternals/SysmonForLinux</t>
  </si>
  <si>
    <t>index=linux sourcetype="Sysmon:Linux" EventID=1
  (CommandLine="*bash -i*" OR CommandLine="*/tmp/*" OR Image="*/dev/shm/*")
| table _time, host, User, Image, CommandLine, ParentImage, Hashes</t>
  </si>
  <si>
    <t>auditd EXECVE/PATH
Sysmon Event 3 (network)
Sysmon Event 11 (FileCreate)</t>
  </si>
  <si>
    <t>Основное событие для телеметрии выполнения. SYSCALL даёт контекст (uid, auid, pid, ppid, exe, comm, success), EXECVE — аргументы argc/a0..aN. Требует правила -a always,exit -F arch=b64 -S execve,execveat.</t>
  </si>
  <si>
    <t>GRP_MGMT (1117)</t>
  </si>
  <si>
    <t>init_module / finit_module</t>
  </si>
  <si>
    <t>index=linux type=SYSCALL syscall IN (175,313,176)
| table _time, host, auid, exe, comm, key</t>
  </si>
  <si>
    <t>DAEMON_END / CONFIG_CHANGE</t>
  </si>
  <si>
    <t>Остановка auditd и изменение его правил</t>
  </si>
  <si>
    <t>Docker</t>
  </si>
  <si>
    <t>WATCH /var/run/docker.sock</t>
  </si>
  <si>
    <t>auditd (PATH/SYSCALL)</t>
  </si>
  <si>
    <t>Доступ к Docker socket (эквивалент root)</t>
  </si>
  <si>
    <t>Правило -w /var/run/docker.sock -p rwa -k docker_sock пишет каждый open() сокета. Любой, кто может писать в этот сокет — эффективный root на хосте. Дополнительно: API-вызовы к Docker daemon в journald (dockerd[...]: ..).</t>
  </si>
  <si>
    <t>• Доступ к /var/run/docker.sock от не-root и не-члена docker group
• docker run --privileged, --pid=host, --net=host, -v /:/host
• docker run с mount /etc, /root, /proc в контейнер
• Доступ к сокету из контейнера (проброшен -v /var/run/docker.sock:/var/run/docker.sock) — классический escape
• curl --unix-socket /var/run/docker.sock http://localhost/containers/create</t>
  </si>
  <si>
    <t>• Container escape
• Privilege escalation (любой член docker group = root)
• Легитимный docker CLI от admin
• CI/CD agent runners</t>
  </si>
  <si>
    <t>T1611, T1610, T1548</t>
  </si>
  <si>
    <t>name=/var/run/docker.sock, exe, auid, syscall (open/connect), key=docker_sock</t>
  </si>
  <si>
    <t>https://docs.docker.com/engine/security/</t>
  </si>
  <si>
    <t>index=linux key=docker_sock
  NOT exe IN ("/usr/bin/docker","/usr/bin/dockerd","/usr/bin/containerd*")
| stats count values(exe) AS exe by host, auid
| where count&gt;0</t>
  </si>
  <si>
    <t>EXECVE docker exec / runc</t>
  </si>
  <si>
    <t>auditd / dockerd journald</t>
  </si>
  <si>
    <t>docker exec / runc / container escape</t>
  </si>
  <si>
    <t>Запуск docker exec, docker run, runc, ctr, kubectl exec. Критичны: вызовы nsenter и unshare — прямые попытки escape. journald от dockerd пишет 'level=info ... exec ...'.</t>
  </si>
  <si>
    <t>• docker exec -it &lt;ct&gt; /bin/bash в prod-контейнеры
• docker run --privileged + capabilities (CAP_SYS_ADMIN, CAP_SYS_PTRACE)
• nsenter --target 1 --mount --uts --ipc --net --pid (escape)
• runc снаружи стандартных путей (CVE-2019-5736)
• docker pull из чужого registry, подозрительные имена образов
• PID=1 внутри контейнера — ParentImage=runc</t>
  </si>
  <si>
    <t>• Container escape через CAP_SYS_ADMIN
• Эксплуатация runc/containerd CVE
• Легитимная отладка контейнеров
• Crypto-mining в публичных K8s API</t>
  </si>
  <si>
    <t>T1611, T1610, T1059.004, T1525</t>
  </si>
  <si>
    <t>https://docs.docker.com/reference/cli/docker/container/exec/</t>
  </si>
  <si>
    <t>index=linux type=EXECVE
  (proctitle="*docker exec*" OR proctitle="*docker run*--privileged*"
   OR proctitle="*nsenter*--target*1*" OR exe="*/runc")
| table _time, host, auid, exe, proctitle, ppid</t>
  </si>
  <si>
    <t>EXECVE python / python3</t>
  </si>
  <si>
    <t>Подозрительный запуск Python (reverse shell, pty)</t>
  </si>
  <si>
    <t>Python — топ-1 LOLBin на Linux для пост-эксплуатации: TTY upgrade, reverse shell, http.server, base64-loader. Регистрируется как EXECVE с exe=/usr/bin/python3 и аргументами -c / -m.</t>
  </si>
  <si>
    <t>• python -c 'import pty; pty.spawn("/bin/bash")' (TTY upgrade)
• python -c 'import socket,subprocess,os; ...' (классический reverse shell)
• python -m http.server (подъём файл-сервера для эксфильтрации)
• python -m SimpleHTTPServer (Python 2)
• base64 -d | python (обфускация пейлоада)
• exec(compile(...)) / __import__('os').system()
• python3 -c 'exec(__import__("urllib.request").urlopen("http://...")).read())'</t>
  </si>
  <si>
    <t>• Initial post-exploitation toolkit
• TTY upgrade после reverse shell
• Web shell вызвал python
• Эксфильтрация данных через http.server
• Легитимный dev/CI</t>
  </si>
  <si>
    <t>T1059.006, T1027, T1071.001, T1105</t>
  </si>
  <si>
    <t>exe (/usr/bin/python*), proctitle, argc, a0..aN, ppid, auid</t>
  </si>
  <si>
    <t>https://gtfobins.github.io/gtfobins/python/</t>
  </si>
  <si>
    <t>index=linux type=EXECVE exe IN ("/usr/bin/python","/usr/bin/python3")
  (proctitle="*pty.spawn*" OR proctitle="*socket.socket*" OR proctitle="*subprocess*"
   OR proctitle="*http.server*" OR proctitle="*SimpleHTTPServer*"
   OR proctitle="*base64*decode*" OR proctitle="*urllib.request*")
| table _time, host, auid, ppid, proctitle</t>
  </si>
  <si>
    <t>SOCKADDR (исходящие connect)
PATH (чтение /etc/passwd)
Sysmon Linux Event 3 (Network)</t>
  </si>
  <si>
    <t>Вход пользователя в систему (login, gdm, su, sshd)</t>
  </si>
  <si>
    <t>Пишется PAM-модулями при любом входе: локальный, SSH, su, sudo -i. Содержит поля res=success/failed, hostname, addr, terminal, acct.</t>
  </si>
  <si>
    <t>• Множественные res=failed с одного addr (brute force)
• Вход root прямо (PermitRootLogin yes)
• Вход вне рабочих часов или из необычных геолокаций
• Успешный вход после серии неудач
• Входы под сервисными учётками (postgres, nginx)</t>
  </si>
  <si>
    <t>• Initial access по SSH/RDP
• Легитимная авторизация
• Lateral movement внутри инфры</t>
  </si>
  <si>
    <t>acct, auid, addr, hostname, terminal, res</t>
  </si>
  <si>
    <t>index=linux type=USER_LOGIN
| stats count by host, acct, addr, res
| where res="failed" AND count&gt;5</t>
  </si>
  <si>
    <t>USER_AUTH (этап ввода пароля)
USER_START (сессия)
sshd journald (sshd[…]: Accepted/Failed)</t>
  </si>
  <si>
    <t>Аутентификация пользователя (этап ввода пароля/ключа)</t>
  </si>
  <si>
    <t>Предшествует USER_LOGIN. Пишется PAM при каждой попытке аутентификации. Содержит op (PAM:authentication), использованный механизм (pubkey, password, gssapi).</t>
  </si>
  <si>
    <t>• res=failed в связке с USER_LOGIN failed
• op=PAM:authentication с редким механизмом
• Несоответствие USER_AUTH success → USER_LOGIN failed</t>
  </si>
  <si>
    <t>• Брутфорс
• Обычная опечатка пароля
• Компрометация PAM</t>
  </si>
  <si>
    <t>T1110, T1078, T1556</t>
  </si>
  <si>
    <t>acct, op, exe (sshd/login/sudo), res, addr</t>
  </si>
  <si>
    <t>index=linux type=USER_AUTH res=failed
| stats count by host, acct, exe, addr
| where count&gt;10</t>
  </si>
  <si>
    <t>USER_LOGIN
CRED_ACQ (получение кредов)</t>
  </si>
  <si>
    <t>sshd Accepted publickey/password</t>
  </si>
  <si>
    <t>sshd в journald/syslog</t>
  </si>
  <si>
    <t>Успешный SSH-вход</t>
  </si>
  <si>
    <t>Строки вида 'Accepted publickey for user from 1.2.3.4 port 12345 ssh2: RSA SHA256:...' в /var/log/auth.log (Debian/Ubuntu) или /var/log/secure (RHEL). Содержит fingerprint ключа, что критично для форензики.</t>
  </si>
  <si>
    <t>• Вход под root с password (вместо publickey)
• Новый SHA256-fingerprint ключа для существующего пользователя
• Вход с IP вне подписок
• Вход в окно обслуживания без тикета</t>
  </si>
  <si>
    <t>• Нормальный админский вход
• Компрометация ключа
• Lateral movement</t>
  </si>
  <si>
    <t>T1021.004, T1078, T1098.004</t>
  </si>
  <si>
    <t>user, src_ip, src_port, auth_method, key_fingerprint</t>
  </si>
  <si>
    <t>https://man.openbsd.org/sshd</t>
  </si>
  <si>
    <t>index=linux source="*/auth.log" OR source="*/secure"
  "Accepted publickey" OR "Accepted password"
| rex "Accepted (?&lt;auth_method&gt;\S+) for (?&lt;user&gt;\S+) from (?&lt;src_ip&gt;\S+) port (?&lt;src_port&gt;\d+)"
| stats count by host, user, src_ip, auth_method</t>
  </si>
  <si>
    <t>auditd USER_LOGIN res=success
auditd USER_AUTH op=PAM:authentication</t>
  </si>
  <si>
    <t>sshd Failed password / Invalid user</t>
  </si>
  <si>
    <t>Неудачный SSH-вход (brute force)</t>
  </si>
  <si>
    <t>Failed password for [invalid user] X from 1.2.3.4 port 12345 ssh2' — основной индикатор брутфорса. Источник #1 данных для fail2ban.</t>
  </si>
  <si>
    <t>• &gt;10 fail с одного IP за 5 минут
• Перебор в словаре (admin, root, oracle, postgres, ubuntu, ec2-user)
• 'Invalid user' — атакующий перебирает логины
• Всплеск Failed → Accepted с того же IP = успешный брут</t>
  </si>
  <si>
    <t>• Credential access (brute force)
• Password spraying
• Сканер в интернете</t>
  </si>
  <si>
    <t>user, src_ip, src_port, auth_method, invalid_user_flag</t>
  </si>
  <si>
    <t>https://www.openssh.com/manual.html</t>
  </si>
  <si>
    <t>index=linux ("Failed password" OR "Invalid user") sourcetype="linux_secure"
| rex "(?:Failed password for |Invalid user )(?:invalid user )?(?&lt;user&gt;\S+) from (?&lt;src_ip&gt;\S+)"
| stats count dc(user) AS users by src_ip
| where count&gt;10</t>
  </si>
  <si>
    <t>auditd USER_AUTH res=failed
auditd USER_LOGIN res=failed
NETFILTER (блок fail2ban)</t>
  </si>
  <si>
    <t>Полный cmdline процесса (включая роботы)</t>
  </si>
  <si>
    <t>PROCTITLE идёт вместе с SYSCALL/EXECVE и содержит hex-кодированный cmdline. Решает проблему EXECVE, который режет длинные аргументы.</t>
  </si>
  <si>
    <t>• Hex-cmdline с base64-payload
• Длинные обфусцированные команды
• (none) процессы (process hollowing)
• Имитация системных имён (kthread, systemd-helper)</t>
  </si>
  <si>
    <t>• Детектинг обфускации
• LOLBins
• Process masquerading</t>
  </si>
  <si>
    <t>T1036.005, T1027, T1059</t>
  </si>
  <si>
    <t>proctitle (hex)</t>
  </si>
  <si>
    <t>index=linux type=PROCTITLE
| eval cmd=hex2ascii(proctitle)
| where match(cmd,"(?i)base64|bash -c|/dev/tcp|/dev/udp")
| table _time, host, auid, cmd</t>
  </si>
  <si>
    <t>EXECVE/SYSCALL (родитель)
PATH (бинарь)</t>
  </si>
  <si>
    <t>PATH (1302)</t>
  </si>
  <si>
    <t>Доступ к критичным файлам (-w правила)</t>
  </si>
  <si>
    <t>Привязан к SYSCALL, идёт вместе с ним. Отслеживаются правилами -w /etc/passwd -p wa -k identity и т.д. Даёт inode, dev, mode, ouid, ogid, nametype (CREATE/NORMAL/DELETE).</t>
  </si>
  <si>
    <t>• Изменения /etc/passwd, /etc/shadow, /etc/sudoers, /etc/ssh/sshd_config
• Создание ~/.ssh/authorized_keys для сервисных аккаунтов
• Изменения /etc/pam.d/*
• Изменения /etc/hosts.allow, /etc/hosts.deny
• Создание файла в /dev/shm и /tmp/.X*</t>
  </si>
  <si>
    <t>• Persistence через authorized_keys
• Компрометация PAM
• Account takeover</t>
  </si>
  <si>
    <t>T1098.004, T1556.003, T1505.003</t>
  </si>
  <si>
    <t>name, nametype, inode, mode, ouid, ogid, key</t>
  </si>
  <si>
    <t>https://man7.org/linux/man-pages/man8/auditctl.8.html</t>
  </si>
  <si>
    <t>index=linux type=PATH key IN ("identity","pam","sshd","sudoers")
  nametype IN ("CREATE","NORMAL","DELETE")
| table _time, host, auid, name, nametype, key</t>
  </si>
  <si>
    <t>SYSCALL (open/openat/rename/unlink)
EXECVE (родитель процесса)</t>
  </si>
  <si>
    <t>SOCKADDR (1306)</t>
  </si>
  <si>
    <t>Сетевые соединения connect/accept</t>
  </si>
  <si>
    <t>Сопровождает SYSCALL connect (42), accept (43), bind (49). Даёт saddr (hex-формат с family, port, IP).</t>
  </si>
  <si>
    <t>• C2 callback
• Lateral movement
• Data exfiltration</t>
  </si>
  <si>
    <t>T1071, T1571, T1041</t>
  </si>
  <si>
    <t>saddr (hex), syscall, exe, auid, success</t>
  </si>
  <si>
    <t>https://man7.org/linux/man-pages/man7/socket.7.html</t>
  </si>
  <si>
    <t>SYSCALL (connect/accept)
EXECVE
Sysmon Linux Event 3</t>
  </si>
  <si>
    <t>Любые вызовы iptables, ip6tables, nft, ebtables. Регистрирует таблицу и семейство.</t>
  </si>
  <si>
    <t>Изменение SELinux роли пользователя</t>
  </si>
  <si>
    <t>newrole, semanage login, semanage user. Пишется в системах с SELinux.</t>
  </si>
  <si>
    <t>• Переход в sysadm_r пользователем, который обычно в user_r
• Нежданный vendor mapping в semanage</t>
  </si>
  <si>
    <t>• Privilege escalation внутри SELinux
• Defense evasion</t>
  </si>
  <si>
    <t>T1548.003</t>
  </si>
  <si>
    <t>old-role, new-role, acct, auid</t>
  </si>
  <si>
    <t>index=linux type=USER_ROLE_CHANGE new-role="sysadm_r"
| table _time, host, auid, acct, new-role</t>
  </si>
  <si>
    <t>USER_CMD (newrole)
AVC (переход в новый контекст)</t>
  </si>
  <si>
    <t>Смена пароля пользователя</t>
  </si>
  <si>
    <t>passwd, chpasswd и аналоги. Пишется PAM-модулем pam_unix при изменении токена аутентификации.</t>
  </si>
  <si>
    <t>• Смена пароля root вне окна обслуживания
• Смена пароля бывшему сотруднику
• Массовая смена (chpasswd в скрипте)</t>
  </si>
  <si>
    <t>• Account takeover
• Поддержка backdoor
• Onboarding/offboarding</t>
  </si>
  <si>
    <t>T1098, T1556</t>
  </si>
  <si>
    <t>acct, auid, exe, res, op</t>
  </si>
  <si>
    <t>index=linux type=USER_CHAUTHTOK acct="root"
| table _time, host, auid, acct, res</t>
  </si>
  <si>
    <t>USER_AUTH
USER_LOGIN root</t>
  </si>
  <si>
    <t>Аномалии: promisc-режим, аварийные завершения</t>
  </si>
  <si>
    <t>• ANOM_PROMISCUOUS от не-tcpdump/wireshark
• Множественные ANOM_ABEND одного бинаря (перебор exploit)
• ANOM_ABEND сетевых демонов (sshd, nginx)</t>
  </si>
  <si>
    <t>• Sniffer на хосте (lateral)
• Эксплуатация уязвимости в демоне
• Нестабильное ПО</t>
  </si>
  <si>
    <t>T1040, T1068, T1574</t>
  </si>
  <si>
    <t>type, exe, comm, sig, pid, auid</t>
  </si>
  <si>
    <t>index=linux type IN (ANOM_PROMISCUOUS, ANOM_ABEND)
| stats count by host, type, exe, comm</t>
  </si>
  <si>
    <t>EXECVE (tcpdump/tshark)
SYSCALL (ioctl SIOCSIFFLAGS)
DAEMON_END</t>
  </si>
  <si>
    <t>Python / Supply chain</t>
  </si>
  <si>
    <t>EXECVE pip install / pip3 install</t>
  </si>
  <si>
    <t>Установка Python-пакетов (потенциальный supply chain)</t>
  </si>
  <si>
    <t>EXECVE с exe=/usr/bin/pip*, /usr/local/bin/pip*, /usr/bin/python -m pip. Отслеживает установку пакетов с PyPI, в т.ч. с --index-url из внешних источников.</t>
  </si>
  <si>
    <t>• pip install с --index-url на внешний ресурс (typosquatting)
• pip install пакетов с typo имени (request, urllib3-extra, colourama)
• pip install из git+http://...
• pip install в production-контейнерах во время работы
• pip install --trusted-host на HTTP (обход TLS-проверки)</t>
  </si>
  <si>
    <t>• Supply chain attack (typosquatting)
• Разработческая работа
• Post-exploitation tooling install (pwntools, impacket)</t>
  </si>
  <si>
    <t>T1195.002, T1059.006, T1105</t>
  </si>
  <si>
    <t>exe, proctitle (pip install ...), ppid, cwd</t>
  </si>
  <si>
    <t>https://pip.pypa.io/en/stable/cli/pip_install/</t>
  </si>
  <si>
    <t>index=linux type=EXECVE
  (proctitle="*pip install*" OR proctitle="*pip3 install*" OR proctitle="*python*-m pip install*")
  (proctitle="*--index-url*" OR proctitle="*git+*" OR proctitle="*--trusted-host*"
   OR proctitle="*impacket*" OR proctitle="*pwntools*" OR proctitle="*pycryptodome*")
| table _time, host, auid, ppid, proctitle</t>
  </si>
  <si>
    <t>SOCKADDR (скачивание)
PATH (запись в site-packages)</t>
  </si>
  <si>
    <t>Проверка валидности учётной записи (account)</t>
  </si>
  <si>
    <t>PAM стадия account (проверка, разрешен ли вход этой учётке: время, хосты, блокировка). Даёт контекст об использовании nss_ldap, nss_sss и др.</t>
  </si>
  <si>
    <t>• res=failed — учётка заблокирована / истёкла
• Проверка для сервисных учёток в нерабочее время</t>
  </si>
  <si>
    <t>• Диагностика проблем с входом
• Попытка использовать заблокированные аккаунты</t>
  </si>
  <si>
    <t>T1078, T1110</t>
  </si>
  <si>
    <t>acct, exe, op (PAM:accounting), res</t>
  </si>
  <si>
    <t>index=linux type=USER_ACCT res=failed
| stats count by host, acct, exe</t>
  </si>
  <si>
    <t>USER_AUTH
USER_LOGIN</t>
  </si>
  <si>
    <t>CRED_ACQ (1103) / CRED_REFR (1104)</t>
  </si>
  <si>
    <t>Получение / обновление учётных данных (PAM credential)</t>
  </si>
  <si>
    <t>PAM стадия credential. CRED_ACQ — первичное получение (Kerberos ticket, токен). CRED_REFR — обновление.</t>
  </si>
  <si>
    <t>• Получение Kerberos-тикета для сервиса из необычного источника
• Множественные CRED_ACQ за короткое время (брут по Kerberos)</t>
  </si>
  <si>
    <t>• Рутинная работа SSO
• Credential access</t>
  </si>
  <si>
    <t>T1558, T1078</t>
  </si>
  <si>
    <t>acct, exe, addr, op</t>
  </si>
  <si>
    <t>index=linux type=CRED_ACQ
| stats count by host, acct, exe, addr</t>
  </si>
  <si>
    <t>CRYPTO_KEY_USER (2503)</t>
  </si>
  <si>
    <t>Использование SSH-ключа для хендшейка</t>
  </si>
  <si>
    <t>Регистрируется при каждом криптографическом хендшейке sshd. Содержит SHA256-fingerprint host-ключа сервера и IP.</t>
  </si>
  <si>
    <t>• Изменение fingerprint хост-ключа (MITM-признак)
• Массовые попытки хендшейка без USER_LOGIN (разведка сервера)</t>
  </si>
  <si>
    <t>• Нормальный SSH-трафик
• SSH-разведка
• MITM</t>
  </si>
  <si>
    <t>T1018, T1557, T1110</t>
  </si>
  <si>
    <t>fp, addr, hostname, op, res</t>
  </si>
  <si>
    <t>index=linux type=CRYPTO_KEY_USER
| stats dc(addr) AS sources by host, fp
| where sources&gt;50</t>
  </si>
  <si>
    <t>USER_LOGIN
sshd Accepted/Failed</t>
  </si>
  <si>
    <t>Где проверить (CLI / journalctl)</t>
  </si>
  <si>
    <t>index=linux type=SOCKADDR syscall=connect
* Декод hex saddr в IP (проще, чем кажется):
* IPv4: family=0200 + port (2 байта) + IP (4 байта hex)
* Пример: 02000050 7F000001 → 127.0.0.1:80
| rex field=saddr "^0200(?&lt;port_hex&gt;[0-9A-F]{4})(?&lt;ip_hex&gt;[0-9A-F]{8})"
| eval port=tonumber(port_hex,16)
| eval ip=printf("%d.%d.%d.%d",
    tonumber(substr(ip_hex,1,2),16),
    tonumber(substr(ip_hex,3,2),16),
    tonumber(substr(ip_hex,5,2),16),
    tonumber(substr(ip_hex,7,2),16))
| where NOT cidrmatch("10.0.0.0/8",ip)
  AND NOT cidrmatch("192.168.0.0/16",ip)
  AND NOT cidrmatch("172.16.0.0/12",ip)
| table _time, host, auid, exe, ip, port</t>
  </si>
  <si>
    <t>auditd EXECVE (docker/runc/ctr)
WATCH /var/run/docker.sock
Sysmon Linux Event 1 (внутри контейнера)
→ K8s audit (kube-apiserver):
  verb=create, subresource=exec
  покажет кто в kubectl exec
  и из какого namespace
  (/var/log/kubernetes/audit.log)</t>
  </si>
  <si>
    <t>EXECVE (docker, runc, ctr)
USER_LOGIN (кто подключился)
K8s audit: события pods/exec, pods/attach
через kube-apiserver</t>
  </si>
  <si>
    <t>▸ Sysmon for Linux логи
$ journalctl -t sysmon --since "1 hour ago"
▸ Только ProcessCreate (Event 1)
$ journalctl -t sysmon | grep -E 'EventID.: 1,'
▸ Сетевые соединения (Event 3)
$ journalctl -t sysmon | grep -E 'EventID.: 3,'</t>
  </si>
  <si>
    <t>▸ Все запуски процессов за час
$ ausearch -m EXECVE --start recent
▸ По конкретному пользователю (auid)
$ ausearch -m EXECVE -ua &lt;uid&gt;
▸ Поиск bash -i / reverse shell
$ ausearch -m EXECVE | grep -E 'bash -i|/dev/tcp'</t>
  </si>
  <si>
    <t>▸ Все sudo-команды за сегодня
$ ausearch -m USER_CMD --start today
▸ По конкретному пользователю
$ ausearch -m USER_CMD -ui &lt;user&gt;
▸ Sudo через journal
$ journalctl _COMM=sudo --since today</t>
  </si>
  <si>
    <t>▸ Все добавления/удаления пользователей
$ ausearch -m ADD_USER,DEL_USER --start today
▸ Кто менял /etc/passwd
$ ausearch -f /etc/passwd
▸ История изменений
$ grep -E 'useradd|userdel' /var/log/auth.log</t>
  </si>
  <si>
    <t>▸ Изменения групп
$ ausearch -m GRP_MGMT --start week-ago
▸ Кто в группе wheel/sudo сейчас
$ getent group wheel sudo docker
▸ История
$ grep -E 'groupadd|gpasswd' /var/log/auth.log</t>
  </si>
  <si>
    <t>▸ Изменения cron
$ ls -la /etc/cron.*/ /var/spool/cron/
$ ausearch -k cron_change --start today
▸ Активные cron-задачи
$ systemctl list-timers --all
▸ Юзерские crontab
$ for u in $(cut -d: -f1 /etc/passwd); do crontab -u $u -l 2&gt;/dev/null; done</t>
  </si>
  <si>
    <t>▸ Загруженные модули ядра
$ lsmod
▸ История загрузки модулей
$ ausearch -m KERN_MODULE --start week-ago
$ dmesg -T | grep -i 'module'
▸ Подозрительные модули (без подписи)
$ cat /proc/modules | awk '{print $1}'</t>
  </si>
  <si>
    <t>▸ Статус auditd
$ systemctl status auditd
$ auditctl -s
▸ Текущие правила
$ auditctl -l
▸ История падений
$ journalctl -u auditd --since yesterday</t>
  </si>
  <si>
    <t>▸ Все SUID-бинари в системе
$ find / -perm -4000 -type f 2&gt;/dev/null
▸ Изменения capabilities
$ ausearch -k suid_change --start today
▸ Capabilities у бинарей
$ getcap -r / 2&gt;/dev/null</t>
  </si>
  <si>
    <t>▸ Кто открывал docker.sock
$ ausearch -f /var/run/docker.sock --start today
▸ Процессы, держащие сокет открытым
$ lsof /var/run/docker.sock
▸ Кто в группе docker (= root)
$ getent group docker</t>
  </si>
  <si>
    <t>▸ Запущенные контейнеры
$ docker ps
▸ История exec-сессий
$ docker events --since 1h --filter 'event=exec_start'
▸ Логи containerd
$ journalctl -u containerd --since "1 hour ago"
▸ K8s exec-ивенты
$ kubectl get events -A --field-selector reason=Exec</t>
  </si>
  <si>
    <t>▸ Все запуски python за час
$ ausearch -m EXECVE --start recent | grep -E 'python[23]?$'
▸ Активные python-процессы
$ ps -ef | grep python | grep -v grep
▸ Открытые сетевые сокеты python
$ ss -tunap | grep python</t>
  </si>
  <si>
    <t>▸ Последние входы
$ last -n 50
$ lastlog | head -30
▸ Входы за час
$ ausearch -m USER_LOGIN --start recent
▸ Через journal
$ journalctl _COMM=login --since "1 hour ago"</t>
  </si>
  <si>
    <t>▸ PAM-аутентификация (failed)
$ ausearch -m USER_AUTH -sv no --start today
▸ Через auth.log (Debian/Ubuntu)
$ grep 'pam_unix' /var/log/auth.log | tail -50
▸ RHEL/CentOS
$ grep 'pam_unix' /var/log/secure | tail -50</t>
  </si>
  <si>
    <t>▸ Успешные SSH-входы (journalctl)
$ journalctl _COMM=sshd --since "1 hour ago" | grep Accepted
▸ С разбором — кто, откуда, метод
$ journalctl _COMM=sshd -S today | grep -E 'Accepted (publickey|password)'
▸ Текущие SSH-сессии
$ who ; ss -tnp '( sport = :ssh )'</t>
  </si>
  <si>
    <t>▸ Просмотр PROCTITLE с декодом hex
$ ausearch -m PROCTITLE --start recent -i
▸ Полные cmdline активных процессов
$ ps -ef --no-headers
▸ Cmdline по PID
$ cat /proc/&lt;pid&gt;/cmdline | tr '\0' ' '</t>
  </si>
  <si>
    <t>▸ Изменения критичных файлов
$ ausearch -f /etc/passwd -f /etc/shadow -f /etc/sudoers --start today
▸ По ключу (auditctl -k)
$ ausearch -k identity --start today
$ ausearch -k sshd --start today
▸ Recent изменения
$ find /etc -mtime -1 -type f</t>
  </si>
  <si>
    <t>▸ Все сетевые соединения процессов
$ ausearch -m SOCKADDR --start recent -i
▸ Активные TCP-соединения с процессами
$ ss -tunap
▸ С декодом — какой процесс куда
$ lsof -i -n -P
▸ По конкретному порту
$ ss -tnp '( dport = :443 )'</t>
  </si>
  <si>
    <t>▸ SELinux статус
$ getenforce
$ sestatus
▸ AVC denied за час
$ ausearch -m AVC --start recent
▸ Через journal
$ journalctl --since "1 hour ago" | grep -i 'avc:'
▸ AppArmor (Ubuntu)
$ aa-status</t>
  </si>
  <si>
    <t>▸ Текущие правила iptables
$ iptables -L -n -v --line-numbers
$ iptables -t nat -L -n -v
$ nft list ruleset
▸ История изменений
$ ausearch -m NETFILTER_CFG --start today
▸ Журнал firewalld
$ journalctl -u firewalld --since today</t>
  </si>
  <si>
    <t>▸ SELinux роли в системе
$ semanage login -l
$ semanage user -l
▸ История изменений ролей
$ ausearch -m USER_ROLE_CHANGE --start week-ago
▸ Текущий контекст процесса
$ ps -eZ | head</t>
  </si>
  <si>
    <t>▸ Все смены паролей за сегодня
$ ausearch -m USER_CHAUTHTOK --start today
▸ Через journal
$ journalctl --since today | grep -i 'password changed'
▸ Когда последний раз менялся пароль
$ chage -l &lt;user&gt;</t>
  </si>
  <si>
    <t>▸ Интерфейсы в promisc-режиме
$ ip link | grep -i promisc
$ netstat -i | grep -i 'P'
▸ Сегфолты процессов
$ ausearch -m ANOM_ABEND --start today
$ dmesg -T | grep -E 'segfault|general protection'
▸ Coredumps
$ coredumpctl list --since today</t>
  </si>
  <si>
    <t>▸ Все запуски pip за день
$ ausearch -m EXECVE --start today | grep -E 'pip[23]? install'
▸ Установленные пакеты
$ pip list ; pip3 list
▸ Последние установленные (по дате site-packages)
$ find /usr/lib/python3*/site-packages /usr/local/lib/python3* -name '*.dist-info' -mtime -7</t>
  </si>
  <si>
    <t>▸ PAM account stage (failed)
$ ausearch -m USER_ACCT -sv no --start today
▸ Статус учётки
$ passwd -S &lt;user&gt;
$ chage -l &lt;user&gt;
▸ Заблокированные пользователи
$ awk -F: '($2 ~ /^!|^\*/) {print $1}' /etc/shadow</t>
  </si>
  <si>
    <t>▸ Получение credentials
$ ausearch -m CRED_ACQ --start today
▸ Kerberos-тикеты пользователя
$ klist -A
▸ Через journal
$ journalctl --since today | grep -iE 'kerberos|gss'</t>
  </si>
  <si>
    <t>▸ Использование SSH-ключей (handshakes)
$ ausearch -m CRYPTO_KEY_USER --start today
▸ Текущие host-ключи сервера
$ ls -la /etc/ssh/ssh_host_*
$ for k in /etc/ssh/ssh_host_*.pub; do ssh-keygen -lf $k; done
▸ Известные клиенту хосты
$ cat ~/.ssh/known_hosts | wc -l</t>
  </si>
  <si>
    <t>Инструменты защитников</t>
  </si>
  <si>
    <t>Каталог инструментов Blue Team / DFIR / SOC: EDR/XDR, SIEM, endpoint и memory forensics, network detection, threat hunting, IR-утилиты. Зеркальная структура к листу «Инструменты атакующих» — для сопоставления offensive vs defensive стека.</t>
  </si>
  <si>
    <t>Типичные имена процессов / агентов</t>
  </si>
  <si>
    <t>MITRE D3FEND / Detection</t>
  </si>
  <si>
    <t>Источники телеметрии / что детектит</t>
  </si>
  <si>
    <t>EDR / XDR</t>
  </si>
  <si>
    <t>Microsoft Defender for Endpoint (MDE)</t>
  </si>
  <si>
    <t>Commercial EDR</t>
  </si>
  <si>
    <t>Windows / macOS / Linux / Android / iOS</t>
  </si>
  <si>
    <t>Microsoft-овский EDR в составе Defender XDR. Behavioral detection, AMSI, Attack Surface Reduction rules, Live Response (PowerShell на удалённой машине), Advanced Hunting через KQL. Тесная интеграция с Sysmon, Windows Event Log, Office 365.</t>
  </si>
  <si>
    <t>MsSense.exe, SenseIR.exe, MsMpEng.exe, NisSrv.exe</t>
  </si>
  <si>
    <t>D3-PA (Process Analysis), D3-FA (File Analysis), D3-NTA</t>
  </si>
  <si>
    <t>Process tree, command line, network connections, file ops, registry, AMSI, script block logging. Telemetry → Defender XDR (KQL Advanced Hunting).</t>
  </si>
  <si>
    <t>https://learn.microsoft.com/defender-endpoint/</t>
  </si>
  <si>
    <t>CrowdStrike Falcon</t>
  </si>
  <si>
    <t>Cloud-native EDR с лёгким сенсором (~30 МБ). Real-time IOA (Indicator of Attack), Falcon OverWatch threat hunting team, Real-Time Response для удалённого расследования. Поиск через FQL/EAM (Event Search) и Falcon LogScale (бывший Humio).</t>
  </si>
  <si>
    <t>CSAgent.sys, CSFalconService.exe, falcon-sensor (Linux)</t>
  </si>
  <si>
    <t>D3-PA, D3-NTA, D3-UBA</t>
  </si>
  <si>
    <t>Process, network, DNS, file, registry, IOA-индикаторы поведения; &gt;200 видов событий в LogScale.</t>
  </si>
  <si>
    <t>https://www.crowdstrike.com/platform/falcon-platform/</t>
  </si>
  <si>
    <t>SentinelOne Singularity</t>
  </si>
  <si>
    <t>Windows / macOS / Linux / Kubernetes</t>
  </si>
  <si>
    <t>AI/ML-based EDR с автономным реагированием (auto-remediation, rollback ransomware). Storyline — корреляция событий в дерево атаки. Deep Visibility (PowerQuery) для расследования.</t>
  </si>
  <si>
    <t>SentinelAgent.exe, SentinelStaticEngine.exe, SentinelHelperService.exe</t>
  </si>
  <si>
    <t>D3-PA, D3-FA, D3-NI</t>
  </si>
  <si>
    <t>Storyline tracker (полные цепочки), process, network, file integrity, USB.</t>
  </si>
  <si>
    <t>https://www.sentinelone.com/platform/</t>
  </si>
  <si>
    <t>Elastic Security (Elastic Endpoint)</t>
  </si>
  <si>
    <t>Open Source / Commercial</t>
  </si>
  <si>
    <t>Elastic Agent + Elastic Security: бесплатный EDR на базе ELK. Prebuilt detection rules (1000+), MITRE ATT&amp;CK mapping, Osquery integration, Kibana SIEM UI. Open Detection Rules в GitHub.</t>
  </si>
  <si>
    <t>elastic-endpoint.exe, elastic-agent.exe, filebeat, metricbeat, winlogbeat</t>
  </si>
  <si>
    <t>Windows event logs, Sysmon, auditd, EDR-сенсор, network flow, cloud audit.</t>
  </si>
  <si>
    <t>https://www.elastic.co/security</t>
  </si>
  <si>
    <t>Wazuh</t>
  </si>
  <si>
    <t>Open Source XDR / SIEM</t>
  </si>
  <si>
    <t>Windows / Linux / macOS</t>
  </si>
  <si>
    <t>Free open-source SIEM+XDR с агентом на OSSEC. FIM (File Integrity Monitoring), Vulnerability Detection, Configuration Assessment, Active Response. Архитектура: agent → manager → Indexer (OpenSearch) → Dashboard. Один из самых популярных бесплатных SOC-стеков.</t>
  </si>
  <si>
    <t>wazuh-agent, ossec-agent, wazuh-modulesd</t>
  </si>
  <si>
    <t>D3-FA (FIM), D3-PA, D3-NTA</t>
  </si>
  <si>
    <t>Syslog, Windows Event Log, auditd, FIM (изменения файлов), CIS-бенчмарки, vuln-scan.</t>
  </si>
  <si>
    <t>https://wazuh.com/</t>
  </si>
  <si>
    <t>SIEM / Log Management</t>
  </si>
  <si>
    <t>Splunk Enterprise Security</t>
  </si>
  <si>
    <t>Commercial SIEM</t>
  </si>
  <si>
    <t>Any (data ingest)</t>
  </si>
  <si>
    <t>Рыночный лидер SIEM. SPL (Search Processing Language) для запросов, Notable Events, Risk-Based Alerting (RBA), Enterprise Security app. Splunk Universal Forwarder на эндпоинтах. Обширная экосистема приложений (Splunkbase).</t>
  </si>
  <si>
    <t>splunkd.exe, splunk-fwd, splunk-launch.exe</t>
  </si>
  <si>
    <t>D3-NTA, D3-UBA, Detection Engineering</t>
  </si>
  <si>
    <t>Universal Forwarder → Indexer; принимает любые логи. Splunk ES имеет встроенные detection rules и dashboards.</t>
  </si>
  <si>
    <t>https://www.splunk.com/en_us/products/enterprise-security.html</t>
  </si>
  <si>
    <t>Microsoft Sentinel</t>
  </si>
  <si>
    <t>Cloud SIEM</t>
  </si>
  <si>
    <t>Azure cloud</t>
  </si>
  <si>
    <t>Cloud-native SIEM/SOAR в Azure. KQL (Kusto Query Language) для запросов. Builtin connectors ко всему стеку MS (Defender, Azure AD, M365), AWS, GCP. Playbooks на Logic Apps.</t>
  </si>
  <si>
    <t>— (cloud service)</t>
  </si>
  <si>
    <t>D3-UBA, Detection-as-Code</t>
  </si>
  <si>
    <t>Defender XDR, Azure AD audit, AWS CloudTrail, GCP, Syslog (CEF), Windows Events, Linux audit, Office 365.</t>
  </si>
  <si>
    <t>https://learn.microsoft.com/azure/sentinel/</t>
  </si>
  <si>
    <t>Elastic SIEM (ELK Stack)</t>
  </si>
  <si>
    <t>Open Source SIEM</t>
  </si>
  <si>
    <t>Linux/Windows servers</t>
  </si>
  <si>
    <t>Elasticsearch + Logstash + Kibana + Beats. Бесплатный SIEM с SIEM UI в Kibana. KQL/EQL/Lucene запросы. ECS (Elastic Common Schema) для унификации полей.</t>
  </si>
  <si>
    <t>elastic-agent, filebeat, winlogbeat, packetbeat, auditbeat</t>
  </si>
  <si>
    <t>D3-UBA, Threat Intelligence</t>
  </si>
  <si>
    <t>Любые логи через Beats/Logstash; Windows Events, Sysmon, auditd, network flow.</t>
  </si>
  <si>
    <t>https://www.elastic.co/siem</t>
  </si>
  <si>
    <t>IBM QRadar</t>
  </si>
  <si>
    <t>Linux appliance / cloud</t>
  </si>
  <si>
    <t>Enterprise SIEM с AQL (Ariel Query Language), встроенный NDR (QFlow), risk и vulnerability management. Популярен в banking/enterprise.</t>
  </si>
  <si>
    <t>qradar-services, ecs-ec</t>
  </si>
  <si>
    <t>D3-NTA, Risk-based detection</t>
  </si>
  <si>
    <t>Syslog, NetFlow, Windows Events, vulnerability scans (Nessus, Qualys).</t>
  </si>
  <si>
    <t>https://www.ibm.com/products/qradar-siem</t>
  </si>
  <si>
    <t>Graylog</t>
  </si>
  <si>
    <t>Linux</t>
  </si>
  <si>
    <t>Open-source log management с mongodb+opensearch. Streams, Pipelines (правила обработки), поиск через Lucene. Graylog Enterprise/Security — платные версии с SIEM функциями.</t>
  </si>
  <si>
    <t>graylog-server, mongod, opensearch</t>
  </si>
  <si>
    <t>Log centralization, Detection</t>
  </si>
  <si>
    <t>Syslog, GELF, Beats, raw TCP/UDP, file inputs.</t>
  </si>
  <si>
    <t>https://graylog.org/</t>
  </si>
  <si>
    <t>Endpoint Telemetry</t>
  </si>
  <si>
    <t>Sysmon (System Monitor)</t>
  </si>
  <si>
    <t>Free Microsoft tool</t>
  </si>
  <si>
    <t>Windows / Linux (Sysmon for Linux)</t>
  </si>
  <si>
    <t>Sysinternals утилита от Microsoft. Пишет расширенные события в Windows Event Log (Microsoft-Windows-Sysmon/Operational): ProcessCreate, NetworkConnect, ImageLoad, DnsQuery, FileCreate, RegistryEvent, ProcessAccess. Стандарт де-факто для telemetry.</t>
  </si>
  <si>
    <t>Sysmon64.exe, Sysmon.exe, SysmonDrv.sys</t>
  </si>
  <si>
    <t>D3-PA, D3-NTA, D3-FA</t>
  </si>
  <si>
    <t>ProcessCreate(1), NetworkConnect(3), ImageLoad(7), CreateRemoteThread(8), RawAccessRead(9), ProcessAccess(10), FileCreate(11), Registry(12-14), DnsQuery(22), ProcessTampering(25).</t>
  </si>
  <si>
    <t>https://learn.microsoft.com/sysinternals/downloads/sysmon</t>
  </si>
  <si>
    <t>SwiftOnSecurity Sysmon config</t>
  </si>
  <si>
    <t>Open Source config</t>
  </si>
  <si>
    <t>Стандартная baseline-конфигурация Sysmon от SwiftOnSecurity — хороший старт для любого SOC. Исключает шум (легитимные Microsoft-процессы), оставляет важные события.</t>
  </si>
  <si>
    <t>— (XML конфиг)</t>
  </si>
  <si>
    <t>Detection baseline</t>
  </si>
  <si>
    <t>Объём Sysmon-логов снижается в ~10 раз; легче хранить в SIEM.</t>
  </si>
  <si>
    <t>https://github.com/SwiftOnSecurity/sysmon-config</t>
  </si>
  <si>
    <t>Olaf Hartong Sysmon-modular</t>
  </si>
  <si>
    <t>Модульная Sysmon-конфигурация с MITRE ATT&amp;CK mapping. Каждый EventID разобран в отдельный файл. При каждом срабатывании в поле RuleName выводится T-техника ATT&amp;CK.</t>
  </si>
  <si>
    <t>ATT&amp;CK detection mapping</t>
  </si>
  <si>
    <t>Тот же Sysmon, но каждое событие тегируется T-кодом.</t>
  </si>
  <si>
    <t>https://github.com/olafhartong/sysmon-modular</t>
  </si>
  <si>
    <t>auditd (Linux Audit Framework)</t>
  </si>
  <si>
    <t>OS native</t>
  </si>
  <si>
    <t>Нативный audit в ядре Linux. Правила в /etc/audit/rules.d/. События: SYSCALL, EXECVE, PATH, USER_LOGIN, USER_CMD, NETFILTER_CFG. Поиск через ausearch, aureport. Практически любой Linux SIEM питается отсюда.</t>
  </si>
  <si>
    <t>auditd, audispd, ausearch, aureport, auditctl</t>
  </si>
  <si>
    <t>D3-PA, D3-FA</t>
  </si>
  <si>
    <t>SYSCALL, EXECVE, USER_LOGIN, PATH, SOCKADDR, ANOM_*.</t>
  </si>
  <si>
    <t>https://github.com/linux-audit/audit-documentation</t>
  </si>
  <si>
    <t>Florian Roth Auditd config</t>
  </si>
  <si>
    <t>Hardened auditd конфигурация от Neo23x0 (Florian Roth) с MITRE ATT&amp;CK mapping. Аналог SwiftOnSecurity, но для Linux. Стандарт де-факто в enterprise Linux SOC.</t>
  </si>
  <si>
    <t>— (audit.rules)</t>
  </si>
  <si>
    <t>Linux ATT&amp;CK mapping</t>
  </si>
  <si>
    <t>T-коды в поле key= каждого события.</t>
  </si>
  <si>
    <t>https://github.com/Neo23x0/auditd</t>
  </si>
  <si>
    <t>Osquery</t>
  </si>
  <si>
    <t>Open Source</t>
  </si>
  <si>
    <t>Превращает OS в SQL-базу. Можно запросить: SELECT * FROM processes WHERE name='powershell.exe'. Используется Facebook, Uber. Fleet/Kolide — управление парком агентов.</t>
  </si>
  <si>
    <t>osqueryd, osqueryi</t>
  </si>
  <si>
    <t>D3-PA, D3-FA, IOC hunting</t>
  </si>
  <si>
    <t>200+ таблиц: processes, sockets, listening_ports, kernel_modules, registry, users, scheduled_tasks.</t>
  </si>
  <si>
    <t>https://osquery.io/</t>
  </si>
  <si>
    <t>Velociraptor</t>
  </si>
  <si>
    <t>Open Source DFIR</t>
  </si>
  <si>
    <t>DFIR-платформа от Mike Cohen (автор GRR/Rekall). VQL (Velociraptor Query Language). Сбор artefacts (Sigma, Yara), live hunting по всему парку, timeline, memory. Бесплатно и продвинуто.</t>
  </si>
  <si>
    <t>velociraptor.exe, gui.exe</t>
  </si>
  <si>
    <t>DFIR, hunting</t>
  </si>
  <si>
    <t>MFT, registry, prefetch, Sysmon, $UsnJrnl, browser history, scheduled tasks, services.</t>
  </si>
  <si>
    <t>https://docs.velociraptor.app/</t>
  </si>
  <si>
    <t>Memory Forensics</t>
  </si>
  <si>
    <t>Volatility 3</t>
  </si>
  <si>
    <t>Windows / Linux / macOS memory dumps</t>
  </si>
  <si>
    <t>Стандарт де-факто для анализа RAM-дампов. Плагины: pslist, pstree, malfind, dlllist, hollowfind, cmdline, netscan, hashdump. Linux: linux.bash, linux.psaux. Volatility 3 — переписан на Python 3.</t>
  </si>
  <si>
    <t>vol.py, volatility (CLI)</t>
  </si>
  <si>
    <t>Memory forensics, hidden process detection</t>
  </si>
  <si>
    <t>RAM dump (raw, crash, vmem); анализ process injection, rootkits, credential theft (mimikatz в памяти).</t>
  </si>
  <si>
    <t>https://github.com/volatilityfoundation/volatility3</t>
  </si>
  <si>
    <t>WinPmem / DumpIt</t>
  </si>
  <si>
    <t>Инструменты снятия RAM-дампа в Windows. WinPmem — от Velociraptor team (Mike Cohen). DumpIt — быстрый однофайловый dumper от Comae. Дают raw memory image для Volatility.</t>
  </si>
  <si>
    <t>winpmem.exe, DumpIt.exe</t>
  </si>
  <si>
    <t>Memory acquisition</t>
  </si>
  <si>
    <t>— (инструмент создания исходных данных)</t>
  </si>
  <si>
    <t>https://github.com/Velocidex/WinPmem</t>
  </si>
  <si>
    <t>Disk Forensics</t>
  </si>
  <si>
    <t>Autopsy / The Sleuth Kit</t>
  </si>
  <si>
    <t>Windows / Linux</t>
  </si>
  <si>
    <t>GUI-оболочка Autopsy на базе The Sleuth Kit (TSK). Анализ файловых систем (NTFS, FAT, EXT, HFS+), recovery deleted files, хеш-лукап по NSRL, browser history, EXIF metadata. Open-source аналог EnCase.</t>
  </si>
  <si>
    <t>autopsy.exe, tsk_*, fls, mmls, icat</t>
  </si>
  <si>
    <t>Disk forensics</t>
  </si>
  <si>
    <t>Disk images (E01, raw dd, VMDK), live triage.</t>
  </si>
  <si>
    <t>https://www.autopsy.com/</t>
  </si>
  <si>
    <t>FTK Imager</t>
  </si>
  <si>
    <t>Free (commercial)</t>
  </si>
  <si>
    <t>AccessData FTK Imager — бесплатный инструмент для снятия forensic-образов диска (E01, raw, AFF), памяти. Mount/preview E01 файлов, экспорт файлов. Стандарт в индустрии.</t>
  </si>
  <si>
    <t>FTK Imager.exe</t>
  </si>
  <si>
    <t>Forensic imaging</t>
  </si>
  <si>
    <t>—</t>
  </si>
  <si>
    <t>https://www.exterro.com/digital-forensics-software/ftk-imager</t>
  </si>
  <si>
    <t>KAPE (Kroll Artifact Parser)</t>
  </si>
  <si>
    <t>Free for non-commercial</t>
  </si>
  <si>
    <t>Triage инструмент от Eric Zimmerman/Kroll. Targets (что собирать) + Modules (чем обрабатывать). Быстрый сбор prefetch, MFT, registry, event log, browser history с live-хоста.</t>
  </si>
  <si>
    <t>kape.exe, gkape.exe</t>
  </si>
  <si>
    <t>Triage, artifact collection</t>
  </si>
  <si>
    <t>Prefetch, MFT, Registry hives, $UsnJrnl, browser, Windows Event Log.</t>
  </si>
  <si>
    <t>https://www.kroll.com/en/services/cyber-risk/incident-response-litigation-support/kroll-artifact-parser-extractor-kape</t>
  </si>
  <si>
    <t>Eric Zimmerman tools (EZ)</t>
  </si>
  <si>
    <t>Free</t>
  </si>
  <si>
    <t>Набор forensic-парсеров: RegistryExplorer, MFTECmd, PECmd (prefetch), AmcacheParser, ShellBagsExplorer, SrumECmd, RBCmd. Обязательный тулкит для Windows DFIR.</t>
  </si>
  <si>
    <t>RECmd, MFTECmd, PECmd, AmcacheParser</t>
  </si>
  <si>
    <t>Artifact parsing</t>
  </si>
  <si>
    <t>Registry hives, MFT, prefetch, Amcache, Shellbags.</t>
  </si>
  <si>
    <t>https://ericzimmerman.github.io/</t>
  </si>
  <si>
    <t>Network Detection</t>
  </si>
  <si>
    <t>Zeek (Bro)</t>
  </si>
  <si>
    <t>Open Source NDR</t>
  </si>
  <si>
    <t>Linux / FreeBSD</t>
  </si>
  <si>
    <t>Network analysis framework. Не IDS в классическом смысле — генерит богатые журналы (conn, http, dns, ssl, files). Zeek scripts на собственном языке. Стандарт в большинстве SOC для сетевой видимости.</t>
  </si>
  <si>
    <t>zeek, zeekctl</t>
  </si>
  <si>
    <t>D3-NTA</t>
  </si>
  <si>
    <t>conn.log, http.log, dns.log, ssl.log, files.log, x509.log, weird.log, notice.log.</t>
  </si>
  <si>
    <t>https://zeek.org/</t>
  </si>
  <si>
    <t>Suricata</t>
  </si>
  <si>
    <t>Open Source IDS/IPS</t>
  </si>
  <si>
    <t>Linux / Windows</t>
  </si>
  <si>
    <t>Multi-threaded IDS/IPS/NSM. Rules в формате Snort + расширения. EVE JSON output. ET Open/ET Pro rulesets. Используется в SecurityOnion, Stamus, AlienVault.</t>
  </si>
  <si>
    <t>suricata, suricatasc</t>
  </si>
  <si>
    <t>D3-NTA, signature-based IDS</t>
  </si>
  <si>
    <t>alert.log, dns.log, http.log, tls.log, fileinfo.log; PCAP.</t>
  </si>
  <si>
    <t>https://suricata.io/</t>
  </si>
  <si>
    <t>Snort 3</t>
  </si>
  <si>
    <t>Cisco/Sourcefire исторический IDS. Rules: alert tcp any any -&gt; any any (msg:"..."; content:"..."; sid:...; rev:...;). Talos community ruleset.</t>
  </si>
  <si>
    <t>snort, snort3</t>
  </si>
  <si>
    <t>Network alerts, packet logs.</t>
  </si>
  <si>
    <t>https://www.snort.org/</t>
  </si>
  <si>
    <t>Wireshark / tshark</t>
  </si>
  <si>
    <t>Стандарт де-факто для анализа сетевого трафика. 3000+ протоколов, follow stream, дешифровка TLS с ключами. tshark — CLI версия для автоматизации.</t>
  </si>
  <si>
    <t>wireshark, tshark, dumpcap</t>
  </si>
  <si>
    <t>PCAP analysis</t>
  </si>
  <si>
    <t>PCAP/PCAPNG файлы, live capture.</t>
  </si>
  <si>
    <t>https://www.wireshark.org/</t>
  </si>
  <si>
    <t>Detection Engineering</t>
  </si>
  <si>
    <t>Sigma</t>
  </si>
  <si>
    <t>Open Source rule format</t>
  </si>
  <si>
    <t>Cross-platform (SIEM-agnostic)</t>
  </si>
  <si>
    <t>Стандарт описания правил детектирования в YAML. Sigma-rules работают с любым SIEM через конвертеры (Splunk, Sentinel, Elastic, ArcSight). Большая общественная база правил в SigmaHQ.</t>
  </si>
  <si>
    <t>sigma-cli, pysigma</t>
  </si>
  <si>
    <t>Detection-as-code, SIEM portability</t>
  </si>
  <si>
    <t>Конвертируется в SPL/KQL/EQL/Lucene; покрытие ATT&amp;CK techniques.</t>
  </si>
  <si>
    <t>https://github.com/SigmaHQ/sigma</t>
  </si>
  <si>
    <t>Atomic Red Team</t>
  </si>
  <si>
    <t>Библиотека от Red Canary: маленькие воспроизводимые тесты для каждой техники MITRE ATT&amp;CK. Invoke-AtomicTest. Проверяет покрытие detection rules без реального вреда.</t>
  </si>
  <si>
    <t>Invoke-AtomicTest, atomic-red-team</t>
  </si>
  <si>
    <t>Detection validation, purple team</t>
  </si>
  <si>
    <t>Telemetry от тестов → SIEM/EDR; проверка что detection сработал.</t>
  </si>
  <si>
    <t>https://github.com/redcanaryco/atomic-red-team</t>
  </si>
  <si>
    <t>MITRE Caldera</t>
  </si>
  <si>
    <t>Automated adversary emulation от MITRE. Плагины: stockpile, atomic, sandcat (агенты). Похож на Atomic Red Team, но полный сценарий атаки с plan/cleanup. Используется для purple team learnings.</t>
  </si>
  <si>
    <t>caldera, sandcat (agent)</t>
  </si>
  <si>
    <t>Adversary emulation</t>
  </si>
  <si>
    <t>Telemetry от агентов → SIEM; планы ATT&amp;CK.</t>
  </si>
  <si>
    <t>https://caldera.mitre.org/</t>
  </si>
  <si>
    <t>Threat Hunting</t>
  </si>
  <si>
    <t>YARA</t>
  </si>
  <si>
    <t>Pattern matching язык для malware identification. Rules с строками, hex, regex, PE-свойствами. Скан файлов, памяти, в EDR. Общирная общественная база правил (Yara-Rules, ReversingLabs).</t>
  </si>
  <si>
    <t>yara, yara64.exe</t>
  </si>
  <si>
    <t>Malware identification</t>
  </si>
  <si>
    <t>Disk, memory, process, network artifacts.</t>
  </si>
  <si>
    <t>https://virustotal.github.io/yara/</t>
  </si>
  <si>
    <t>Loki / Thor (Florian Roth)</t>
  </si>
  <si>
    <t>Free / Commercial</t>
  </si>
  <si>
    <t>IOC и YARA scanner от Nextron Systems. Loki — бесплатный сканер по signatures-base. Thor — enterprise версия с большим покрытием. Проверяет IOC, YARA, Sigma.</t>
  </si>
  <si>
    <t>loki.exe, thor.exe, thor64.exe</t>
  </si>
  <si>
    <t>IOC/YARA scanning</t>
  </si>
  <si>
    <t>Filesystem scan, process scan, hash matching.</t>
  </si>
  <si>
    <t>https://www.nextron-systems.com/loki/</t>
  </si>
  <si>
    <t>Hayabusa</t>
  </si>
  <si>
    <t>Windows (EVTX)</t>
  </si>
  <si>
    <t>Windows event log scanner от Yamato Security. Быстрый (Rust) инструмент поиска атак в EVTX через sigma-подобные правила. CSV отчёт со всеми находками и timeline.</t>
  </si>
  <si>
    <t>hayabusa.exe</t>
  </si>
  <si>
    <t>EVTX threat hunting</t>
  </si>
  <si>
    <t>.evtx файлы; Windows Event Log.</t>
  </si>
  <si>
    <t>https://github.com/Yamato-Security/hayabusa</t>
  </si>
  <si>
    <t>Chainsaw</t>
  </si>
  <si>
    <t>Rust-инструмент от F-Secure/WithSecure для быстрого поиска в EVTX логах. Sigma + builtin detection rules. Парсинг prefetch, Shimcache, MFT.</t>
  </si>
  <si>
    <t>chainsaw.exe</t>
  </si>
  <si>
    <t>EVTX hunting, artifact parsing</t>
  </si>
  <si>
    <t>.evtx, prefetch, shimcache, MFT.</t>
  </si>
  <si>
    <t>https://github.com/WithSecureLabs/chainsaw</t>
  </si>
  <si>
    <t>Malware Analysis</t>
  </si>
  <si>
    <t>ANY.RUN</t>
  </si>
  <si>
    <t>Commercial sandbox</t>
  </si>
  <si>
    <t>Cloud</t>
  </si>
  <si>
    <t>Интерактивная sandbox в облаке. Можно «кликать» прямо в sandbox, видеть process tree, network, file ops в real-time. MITRE ATT&amp;CK mapping. Популярна в SOC для быстрого malware triage.</t>
  </si>
  <si>
    <t>— (cloud)</t>
  </si>
  <si>
    <t>Dynamic analysis</t>
  </si>
  <si>
    <t>Process, network, file activity из sandbox runs; IOC.</t>
  </si>
  <si>
    <t>https://any.run/</t>
  </si>
  <si>
    <t>Cuckoo Sandbox / CAPE</t>
  </si>
  <si>
    <t>Linux host</t>
  </si>
  <si>
    <t>Cuckoo — исторический open-source sandbox. CAPE (Config And Payload Extraction) — форк Cuckoo с unpacking, config extraction для известных семейств (TrickBot, Emotet, Qakbot). Активно развивается.</t>
  </si>
  <si>
    <t>cuckoo.py, cape.py</t>
  </si>
  <si>
    <t>Dynamic malware analysis</t>
  </si>
  <si>
    <t>Process behaviour, syscalls, dropped files, C2 traffic, YARA matches.</t>
  </si>
  <si>
    <t>https://github.com/kevoreilly/CAPEv2</t>
  </si>
  <si>
    <t>Ghidra</t>
  </si>
  <si>
    <t>Cross-platform (Java)</t>
  </si>
  <si>
    <t>Reverse engineering framework от NSA (выложен в 2019). Decompiler для x86/x64/ARM/PowerPC и др. Бесплатный аналог IDA Pro. Скриптинг на Python и Java.</t>
  </si>
  <si>
    <t>ghidraRun, analyzeHeadless</t>
  </si>
  <si>
    <t>Static malware analysis</t>
  </si>
  <si>
    <t>PE/ELF/Mach-O binaries; firmware.</t>
  </si>
  <si>
    <t>https://ghidra-sre.org/</t>
  </si>
  <si>
    <t>PE-bear / PE Studio / Detect It Easy (DIE)</t>
  </si>
  <si>
    <t>Static PE analyzers. PE-bear — GUI редактор PE. PE Studio — quick triage (entropy, signatures, imports, VirusTotal). DIE — packer/compiler detection. Для быстрого обзора подозрительных бинарей.</t>
  </si>
  <si>
    <t>pebear, peStudio, die</t>
  </si>
  <si>
    <t>Static analysis</t>
  </si>
  <si>
    <t>PE headers, imports/exports, signatures, entropy.</t>
  </si>
  <si>
    <t>https://hshrzd.wordpress.com/pe-bear/</t>
  </si>
  <si>
    <t>Threat Intelligence</t>
  </si>
  <si>
    <t>MISP</t>
  </si>
  <si>
    <t>Malware Information Sharing Platform. Стандарт де-факто для обмена IOC. Sharing communities, taxonomies (TLP, MITRE), STIX/TAXII экспорт. Интеграции с SIEM и EDR через API.</t>
  </si>
  <si>
    <t>misp-modules, misp-workflow</t>
  </si>
  <si>
    <t>TI sharing, IOC enrichment</t>
  </si>
  <si>
    <t>IOC feeds, attributes, events; STIX, TAXII, MISP feed.</t>
  </si>
  <si>
    <t>https://www.misp-project.org/</t>
  </si>
  <si>
    <t>OpenCTI</t>
  </si>
  <si>
    <t>Linux (Docker)</t>
  </si>
  <si>
    <t>TIP от Filigran на GraphQL/Elasticsearch. Структурирует инфу в STIX 2.1 модели: attack patterns, threat actors, malware, campaigns. Графовое представление связей.</t>
  </si>
  <si>
    <t>opencti (Docker)</t>
  </si>
  <si>
    <t>TIP, knowledge graph</t>
  </si>
  <si>
    <t>STIX feeds, MITRE ATT&amp;CK, MISP, AlienVault OTX.</t>
  </si>
  <si>
    <t>https://www.opencti.io/</t>
  </si>
  <si>
    <t>VirusTotal</t>
  </si>
  <si>
    <t>Commercial (Google)</t>
  </si>
  <si>
    <t>Cloud-сервис для анализа файлов, URL, IP, доменов. &gt;70 антивирусов, sandbox, YARA Hunting, Retrohunt. VT Intelligence (платная подписка).</t>
  </si>
  <si>
    <t>— (web/API)</t>
  </si>
  <si>
    <t>Reputation, IOC enrichment</t>
  </si>
  <si>
    <t>Hash/URL/IP/domain лукапы; relationship graph.</t>
  </si>
  <si>
    <t>https://www.virustotal.com/</t>
  </si>
  <si>
    <t>Shodan / Censys / FOFA</t>
  </si>
  <si>
    <t>Commercial</t>
  </si>
  <si>
    <t>Internet-wide сканеры. Используются защитниками для attack surface management, поиска expose своих сервисов, IOC enrichment (что это за IP). Shodan и Censys — стандарт в enterprise.</t>
  </si>
  <si>
    <t>shodan-cli</t>
  </si>
  <si>
    <t>ASM, IOC enrichment</t>
  </si>
  <si>
    <t>Banner, port, certificate, GeoIP, ASN.</t>
  </si>
  <si>
    <t>https://www.shodan.io/</t>
  </si>
  <si>
    <t>IR / Triage</t>
  </si>
  <si>
    <t>Sysinternals Suite</t>
  </si>
  <si>
    <t>Free Microsoft tools</t>
  </si>
  <si>
    <t>Набор утилит от Mark Russinovich. Обязательный для любого DFIR-спеца. Process Explorer, Process Monitor, Autoruns, TCPView, Handle, AccessChk, PsExec, Procdump, Sigcheck, RAMMap.</t>
  </si>
  <si>
    <t>procexp.exe, procmon.exe, autoruns.exe, tcpview.exe</t>
  </si>
  <si>
    <t>Triage, live forensics</t>
  </si>
  <si>
    <t>Process tree, file/registry/network activity в real-time, autostart locations.</t>
  </si>
  <si>
    <t>https://learn.microsoft.com/sysinternals/</t>
  </si>
  <si>
    <t>GRR Rapid Response</t>
  </si>
  <si>
    <t>Cross-platform (Linux server)</t>
  </si>
  <si>
    <t>Remote DFIR платформа от Google. Live hunts по всему парку, сбор artefacts, memory acquisition. Предшественник Velociraptor. Используется Google IR team.</t>
  </si>
  <si>
    <t>grr-server, grr-client</t>
  </si>
  <si>
    <t>Enterprise remote DFIR</t>
  </si>
  <si>
    <t>Memory dumps, files, MFT, registry от удалённых хостов.</t>
  </si>
  <si>
    <t>https://github.com/google/grr</t>
  </si>
  <si>
    <t>TheHive + Cortex + MISP</t>
  </si>
  <si>
    <t>Open Source SOAR</t>
  </si>
  <si>
    <t>Open-source SOAR platform. TheHive — case management, Cortex — анализ IOC через analyzers (VT, MISP, Shodan). MISP — TI feed. Классический бесплатный SOC стек.</t>
  </si>
  <si>
    <t>thehive, cortex, misp</t>
  </si>
  <si>
    <t>Case management, SOAR</t>
  </si>
  <si>
    <t>Alerts от SIEM → cases в TheHive → обогащение Cortex.</t>
  </si>
  <si>
    <t>https://thehive-project.org/</t>
  </si>
  <si>
    <t>Vulnerability / Posture</t>
  </si>
  <si>
    <t>OpenVAS / Greenbone</t>
  </si>
  <si>
    <t>Open-source vulnerability scanner. Forked from Nessus (в 2005). 100K+ NVT (Network Vulnerability Tests). Greenbone Community Edition. Альтернатива платным Nessus/Qualys.</t>
  </si>
  <si>
    <t>gvmd, openvasd, gsad</t>
  </si>
  <si>
    <t>Vulnerability management</t>
  </si>
  <si>
    <t>Active network scan; vulnerability reports.</t>
  </si>
  <si>
    <t>https://www.greenbone.net/</t>
  </si>
  <si>
    <t>Nuclei</t>
  </si>
  <si>
    <t>Fast YAML-template vulnerability scanner от ProjectDiscovery. 5000+ templates (CVE, exposures, misconfigurations, takeovers). Используется как защитниками (continuous scan), так и bug bounty hunters.</t>
  </si>
  <si>
    <t>nuclei</t>
  </si>
  <si>
    <t>Vuln scanning, ASM</t>
  </si>
  <si>
    <t>HTTP probes, CVE checks, exposed services.</t>
  </si>
  <si>
    <t>https://github.com/projectdiscovery/nuclei</t>
  </si>
  <si>
    <t>Deception</t>
  </si>
  <si>
    <t>Canary (Thinkst) / OpenCanary</t>
  </si>
  <si>
    <t>Commercial / Open Source</t>
  </si>
  <si>
    <t>Network appliances</t>
  </si>
  <si>
    <t>Honeypot и honey tokens. Thinkst Canary — enterprise hardware ловушки («сервер с SMB, RDP, SSH» который высылает alert при любом взаимодействии). OpenCanary — бесплатный аналог. Zero false-positives.</t>
  </si>
  <si>
    <t>opencanaryd, canary-token</t>
  </si>
  <si>
    <t>D3-DE (Decoy Environment)</t>
  </si>
  <si>
    <t>Login attempts, SMB/RDP/SSH probes, file opens (canary token).</t>
  </si>
  <si>
    <t>https://canary.tools/</t>
  </si>
  <si>
    <t>Kaspersky EDR Expert / EDR Optimum</t>
  </si>
  <si>
    <t>EDR от Kaspersky: EDR Optimum (для среднего бизнеса) и EDR Expert (для крупных). IOC scanner, sandbox-detonation, root cause analysis, response actions (изоляция хоста, kill process). Интеграция с Kaspersky Threat Intelligence Portal.</t>
  </si>
  <si>
    <t>kavfs.exe, kavfswp.exe, klnagent, avp.exe</t>
  </si>
  <si>
    <t>Process, file, network, registry; KSN cloud reputation.</t>
  </si>
  <si>
    <t>https://www.kaspersky.com/enterprise-security/endpoint-detection-response-edr</t>
  </si>
  <si>
    <t>Kaspersky KUMA</t>
  </si>
  <si>
    <t>Kaspersky Unified Monitoring and Analysis — SIEM от ЛК. Нормализация через коннекторы, корреляционные правила (CEL-подобный язык), интеграция с KSN, Threat Intelligence Portal, Kaspersky Anti Targeted Attack. Популярен в РФ-инфраструктурах как замена Splunk/QRadar.</t>
  </si>
  <si>
    <t>kuma-core, kuma-storage, kuma-collector</t>
  </si>
  <si>
    <t>D3-UBA, correlation</t>
  </si>
  <si>
    <t>Syslog, Windows Event Log, NetFlow, Kaspersky-продукты, REST API.</t>
  </si>
  <si>
    <t>https://support.kaspersky.com/help/KUMA/3.0.3/en-US/217694.htm</t>
  </si>
  <si>
    <t>RITA (Real Intelligence Threat Analytics)</t>
  </si>
  <si>
    <t>Beaconing detection framework от Active Countermeasures (Black Hills InfoSec). Анализирует Zeek conn.log на признаки C2-beaconing: постоянство интервалов, скрытые тайминги, long connections, DNS tunneling. Один из самых эффективных инструментов для поиска скрытого C2.</t>
  </si>
  <si>
    <t>rita</t>
  </si>
  <si>
    <t>Beaconing / C2 detection</t>
  </si>
  <si>
    <t>Zeek conn.log + dns.log → анализ паттернов; не сетевой sniffer, а аналитика поверх Zeek.</t>
  </si>
  <si>
    <t>https://github.com/activecm/rita</t>
  </si>
  <si>
    <t>DeepBlueCLI</t>
  </si>
  <si>
    <t>Windows (PowerShell)</t>
  </si>
  <si>
    <t>PowerShell-модуль от SANS Blue Team для анализа Windows Event Log. Детектит password spraying, lateral movement, suspicious PowerShell, service creation, persistence. Работает по EVTX-файлам или live-логам.</t>
  </si>
  <si>
    <t>DeepBlue.ps1</t>
  </si>
  <si>
    <t>Security.evtx, System.evtx, PowerShell-Operational.evtx.</t>
  </si>
  <si>
    <t>https://github.com/sans-blue-team/DeepBlueCLI</t>
  </si>
  <si>
    <t>oletools</t>
  </si>
  <si>
    <t>Cross-platform (Python)</t>
  </si>
  <si>
    <t>Набор Python-утилит от Philippe Lagadec для анализа MS Office документов. olevba — извлечение и анализ VBA-макросов. oleid, oledump, msodde — статический анализ OLE/RTF. Стандарт для phishing-документов: word/excel с подозрительными макросами.</t>
  </si>
  <si>
    <t>olevba, oleid, oledump, rtfobj, msodde</t>
  </si>
  <si>
    <t>Macro / VBA analysis</t>
  </si>
  <si>
    <t>.doc, .docm, .xls, .xlsm, .rtf, .ppt, .vsd, OLE storage.</t>
  </si>
  <si>
    <t>https://github.com/decalage2/oletools</t>
  </si>
  <si>
    <t>Sooty</t>
  </si>
  <si>
    <t>SOC analyst all-in-one CLI tool. Автоматизирует ежедневные задачи SOC L1: hash reputation, URL/IP проверка, email header analysis. Интеграция с VirusTotal, AbuseIPDB, URLScan, IBM X-Force, AlienVault OTX в одном интерфейсе.</t>
  </si>
  <si>
    <t>sooty.py</t>
  </si>
  <si>
    <t>IOC enrichment, triage</t>
  </si>
  <si>
    <t>Hash, IP, URL, email headers → агрегированный отчёт с reputation.</t>
  </si>
  <si>
    <t>https://github.com/TheresAFewConors/Sooty</t>
  </si>
  <si>
    <t>FAME (FAME Automates Malware Evaluation)</t>
  </si>
  <si>
    <t>Malware analysis pipeline от Société Générale CERT. Принимает sample → последовательно прогоняет через модули (peframe, oletools, Cuckoo, VT, YARA). Каждый модуль обогащает результаты следующих. Хороший backbone для SOC malware analysis.</t>
  </si>
  <si>
    <t>fame (Flask + worker)</t>
  </si>
  <si>
    <t>Automated malware analysis pipeline</t>
  </si>
  <si>
    <t>PE, Office docs, scripts → объединённый отчёт с IOC, классификацией.</t>
  </si>
  <si>
    <t>https://github.com/certsocietegenerale/fame</t>
  </si>
  <si>
    <t>Shuffle SOAR</t>
  </si>
  <si>
    <t>Open-source SOAR с визуальным workflow-редактором. 1000+ интеграций (apps). Альтернатива Cortex XSOAR, Splunk SOAR, Tines. Drag-and-drop playbook builder, поддержка триггеров через webhook, schedule, email. Хорошо подходит как бесплатный SOAR-стек поверх TheHive/MISP/Wazuh.</t>
  </si>
  <si>
    <t>shuffle (Docker)</t>
  </si>
  <si>
    <t>SOAR, playbook automation</t>
  </si>
  <si>
    <t>Webhook от SIEM/EDR → workflow → 1000+ интеграций (ticketing, EDR, TI, чат).</t>
  </si>
  <si>
    <t>https://github.com/Shuffle/Shuffle</t>
  </si>
  <si>
    <t>Online: IOC Reputation</t>
  </si>
  <si>
    <t>AbuseIPDB</t>
  </si>
  <si>
    <t>Free / API</t>
  </si>
  <si>
    <t>Web</t>
  </si>
  <si>
    <t>Общественная база abuse-reports по IP. SOC проверяет подозрительные внешние IP — появляется Confidence Score 0-100. API интегрируется в SIEM и SOAR.</t>
  </si>
  <si>
    <t>IP reputation</t>
  </si>
  <si>
    <t>IP → abuse confidence, reporters, categories.</t>
  </si>
  <si>
    <t>https://www.abuseipdb.com/</t>
  </si>
  <si>
    <t>ThreatFox (abuse.ch)</t>
  </si>
  <si>
    <t>Web / API</t>
  </si>
  <si>
    <t>IOC database от abuse.ch (Switzerland). Обмен IOC между SOC-аналитиками по фамилиям вредоносов (Emotet, AgentTesla, Cobalt Strike). Поддерживает IP, домены, URL, хеши.</t>
  </si>
  <si>
    <t>IOC database</t>
  </si>
  <si>
    <t>IP/domain/URL/hash → семейство вредоноса, threat type, confidence.</t>
  </si>
  <si>
    <t>https://threatfox.abuse.ch/</t>
  </si>
  <si>
    <t>URLhaus (abuse.ch)</t>
  </si>
  <si>
    <t>База malicious URL от abuse.ch. Используется для проверки подозрительных ссылок из фишинг-email, исходящих HTTP-запросов. Подписка на feeds для SIEM.</t>
  </si>
  <si>
    <t>URL reputation</t>
  </si>
  <si>
    <t>URL → status (online/offline), threat, payload hash.</t>
  </si>
  <si>
    <t>https://urlhaus.abuse.ch/</t>
  </si>
  <si>
    <t>Criminal IP</t>
  </si>
  <si>
    <t>IP и malware activity checker от AI SPERA. Показывает историю вредоносной активности, ASN, GeoIP, C2 attribution. Альтернатива AbuseIPDB с более богатым форензик-контекстом.</t>
  </si>
  <si>
    <t>IP / malware reputation</t>
  </si>
  <si>
    <t>IP → C2, malware family, scan history, GeoIP.</t>
  </si>
  <si>
    <t>https://www.criminalip.io/</t>
  </si>
  <si>
    <t>IBM X-Force Exchange</t>
  </si>
  <si>
    <t>Threat intelligence platform от IBM. Коллаборация по IOC, отчёты X-Force research, risk scoring для IP/URL/hash. Популярен в enterprise из-за интеграции с QRadar.</t>
  </si>
  <si>
    <t>TI platform</t>
  </si>
  <si>
    <t>IP/URL/hash/CVE → risk score, related collections.</t>
  </si>
  <si>
    <t>https://exchange.xforce.ibmcloud.com/</t>
  </si>
  <si>
    <t>Cisco Talos Intelligence</t>
  </si>
  <si>
    <t>Reputation lookup от Cisco Talos. Один из самых авторитетных источников по domain/IP репутации. Используется и в email security (Cisco ESA), и в web filtering (Umbrella).</t>
  </si>
  <si>
    <t>IP/Domain reputation</t>
  </si>
  <si>
    <t>IP/domain → web/email reputation (Good/Neutral/Poor).</t>
  </si>
  <si>
    <t>https://talosintelligence.com/</t>
  </si>
  <si>
    <t>Pulsedive</t>
  </si>
  <si>
    <t>Centralized CTI lookup: IP, domain, URL, hash. Risk score, MITRE-маппинг, related indicators, pulse summary. Сильная связность IOC.</t>
  </si>
  <si>
    <t>Centralized CTI</t>
  </si>
  <si>
    <t>Multi-IOC lookup; MITRE tags.</t>
  </si>
  <si>
    <t>https://pulsedive.com/</t>
  </si>
  <si>
    <t>Kaspersky Threat Intelligence Portal</t>
  </si>
  <si>
    <t>OpenTIP от ЛК. Проверка file, hash, IP, URL через KSN cloud reputation. Альтернатива VirusTotal с фокусом на Kaspersky-покрытии. Небольшая квота бесплатных lookup.</t>
  </si>
  <si>
    <t>File/URL reputation</t>
  </si>
  <si>
    <t>Hash/URL/IP → KSN-вердикт + sandbox в enterprise версии.</t>
  </si>
  <si>
    <t>https://opentip.kaspersky.com/</t>
  </si>
  <si>
    <t>Kaspersky CyberMap</t>
  </si>
  <si>
    <t>Real-time визуализация киберугроз по регионам. Полезна для демо SOC, обзора trendов, situation awareness.</t>
  </si>
  <si>
    <t>Threat landscape</t>
  </si>
  <si>
    <t>Stats от KSN по странам и типам угроз.</t>
  </si>
  <si>
    <t>https://cybermap.kaspersky.com/</t>
  </si>
  <si>
    <t>Online: Sandbox</t>
  </si>
  <si>
    <t>Hybrid Analysis (CrowdStrike)</t>
  </si>
  <si>
    <t>Free public malware sandbox от CrowdStrike (ранее Payload Security). Даёт process tree, network activity, dropped files, MITRE-маппинг. Альтернатива ANY.RUN.</t>
  </si>
  <si>
    <t>Public sandbox</t>
  </si>
  <si>
    <t>Behavioral analysis report, IOC, YARA matches.</t>
  </si>
  <si>
    <t>https://www.hybrid-analysis.com/</t>
  </si>
  <si>
    <t>Joe Sandbox</t>
  </si>
  <si>
    <t>Commercial / Limited free</t>
  </si>
  <si>
    <t>Детальный sandbox с cross-platform analysis (Windows, macOS, Linux, Android, iOS). Сильный evasion-resistance. Используется в mature SOC для deep malware analysis.</t>
  </si>
  <si>
    <t>Multi-OS sandbox</t>
  </si>
  <si>
    <t>Full behavioral analysis, AI signatures, IOC.</t>
  </si>
  <si>
    <t>https://www.joesandbox.com/</t>
  </si>
  <si>
    <t>Yomi Hunter (Yoroi)</t>
  </si>
  <si>
    <t>Italian malware sandbox от Yoroi. Производит detailed behavioral analysis, MITRE-mapping, IOC extraction. Бесплатный tier с community access.</t>
  </si>
  <si>
    <t>Behavioral report, IOC.</t>
  </si>
  <si>
    <t>https://yomi.yoroi.company/</t>
  </si>
  <si>
    <t>Triage (Hatching, Recorded Future)</t>
  </si>
  <si>
    <t>Sandbox от Hatching (Recorded Future). Быстрый анализ больших объёмов образцов (до 4 мин). Отличные family signatures для топ-семейств.</t>
  </si>
  <si>
    <t>Behavioral, family classification, IOC.</t>
  </si>
  <si>
    <t>https://tria.ge/</t>
  </si>
  <si>
    <t>PacketTotal / PCAP analysis</t>
  </si>
  <si>
    <t>Online PCAP analyzer. Загружается файл — получается разбор по протоколам, IOC, Suricata-alerts. Альтернатива локальной Wireshark-разборке для быстрой triage.</t>
  </si>
  <si>
    <t>PCAP file → protocol breakdown, alerts.</t>
  </si>
  <si>
    <t>https://www.pcap.click/</t>
  </si>
  <si>
    <t>DocGuard</t>
  </si>
  <si>
    <t>Online анализ вредоносных документов: Office VB-макросы, RTF exploits, PDF embedded JS, HTML smuggling. Альтернатива oletools в браузере.</t>
  </si>
  <si>
    <t>Document analysis</t>
  </si>
  <si>
    <t>Office, PDF, HTML → индикаторы, извлечённые павлоады.</t>
  </si>
  <si>
    <t>https://www.docguard.io/</t>
  </si>
  <si>
    <t>PDFCrowd / PDF Examiner</t>
  </si>
  <si>
    <t>Online PDF analyzer. Разбор PDF на stream-объекты, поиск embedded JavaScript, suspicious actions (OpenAction, AA), извлечение URL и файлов.</t>
  </si>
  <si>
    <t>PDF analysis</t>
  </si>
  <si>
    <t>PDF → JS, actions, embedded files.</t>
  </si>
  <si>
    <t>https://www.pdfexaminer.com/</t>
  </si>
  <si>
    <t>ThreatZone</t>
  </si>
  <si>
    <t>Open malicious file analysis sandbox. Альтернатива ANY.RUN/Hybrid Analysis с фокусом на community доступе.</t>
  </si>
  <si>
    <t>PE → behavioral, IOC.</t>
  </si>
  <si>
    <t>https://www.threat.zone/</t>
  </si>
  <si>
    <t>Online: URL / Phishing</t>
  </si>
  <si>
    <t>urlscan.io</t>
  </si>
  <si>
    <t>Сканирование URL в sandbox-браузере. Даёт screenshot, IPs/domains contacted, JS resources, certificates, DOM. Стандарт для phishing investigation.</t>
  </si>
  <si>
    <t>URL analysis</t>
  </si>
  <si>
    <t>URL → screenshot, network requests, certificates.</t>
  </si>
  <si>
    <t>https://urlscan.io/</t>
  </si>
  <si>
    <t>Palo Alto URL Filtering (Test A Site)</t>
  </si>
  <si>
    <t>URL categorization и reputation lookup от Palo Alto. Показывает категорию (malware, phishing, command-and-control, newly-registered).</t>
  </si>
  <si>
    <t>URL classification</t>
  </si>
  <si>
    <t>URL → категория и risk.</t>
  </si>
  <si>
    <t>https://urlfiltering.paloaltonetworks.com/</t>
  </si>
  <si>
    <t>PhishTank</t>
  </si>
  <si>
    <t>Community-driven phishing URL database. SOC проверяет подозрительные URL из user-репортов. От OpenDNS/Cisco.</t>
  </si>
  <si>
    <t>Phishing DB</t>
  </si>
  <si>
    <t>URL → verified/unverified phish.</t>
  </si>
  <si>
    <t>https://phishtank.org/</t>
  </si>
  <si>
    <t>CheckPhish (Bolster)</t>
  </si>
  <si>
    <t>AI-powered phishing detection. Сканирует URL на phishing/scam сигналы: brand impersonation, typosquatting, suspicious domains. Real-time monitoring API.</t>
  </si>
  <si>
    <t>Phishing detection</t>
  </si>
  <si>
    <t>URL → phishing verdict, brand impersonation detection.</t>
  </si>
  <si>
    <t>https://checkphish.bolster.ai/</t>
  </si>
  <si>
    <t>Netcraft Site Report</t>
  </si>
  <si>
    <t>Historical site analyzer. Показывает hosting history, IP changes, SSL history, technology stack, risk rating. Полезен для investigation возраста домена (newly-registered = подозрительно).</t>
  </si>
  <si>
    <t>Domain history</t>
  </si>
  <si>
    <t>Domain → hosting/IP/SSL history, technology.</t>
  </si>
  <si>
    <t>https://sitereport.netcraft.com/</t>
  </si>
  <si>
    <t>Online: DNS / Network</t>
  </si>
  <si>
    <t>DNSDumpster</t>
  </si>
  <si>
    <t>DNS recon: поиск всех поддоменов, MX, NS, TXT записей, GeoIP mapping. Hostmap визуализация инфры. Используется и защитниками (ASM), и красными.</t>
  </si>
  <si>
    <t>DNS recon</t>
  </si>
  <si>
    <t>Domain → subdomains, DNS records, hostmap.</t>
  </si>
  <si>
    <t>https://dnsdumpster.com/</t>
  </si>
  <si>
    <t>ViewDNS.info</t>
  </si>
  <si>
    <t>DNS и IP lookup toolkit: reverse DNS, MX lookup, DNS history, IP location, port scan. Быстрый self-service для IOC enrichment.</t>
  </si>
  <si>
    <t>DNS / IP recon</t>
  </si>
  <si>
    <t>DNS history, reverse lookup, port scan.</t>
  </si>
  <si>
    <t>https://viewdns.info/</t>
  </si>
  <si>
    <t>ThreatMiner</t>
  </si>
  <si>
    <t>Threat intelligence portal. По domain/IP/hash возвращает related IOC, samples, reports, WHOIS history. Классический OSINT для IOC pivoting.</t>
  </si>
  <si>
    <t>TI / OSINT</t>
  </si>
  <si>
    <t>Domain/IP/hash → related artifacts.</t>
  </si>
  <si>
    <t>https://www.threatminer.org/</t>
  </si>
  <si>
    <t>IPinfo.io</t>
  </si>
  <si>
    <t>IP enrichment service. ASN, geolocation, hosting type (datacenter/VPN/Tor/proxy), company info, abuse contact. Компактный API — любимый SOC для enrichment IP в alertах.</t>
  </si>
  <si>
    <t>IP enrichment</t>
  </si>
  <si>
    <t>IP → ASN, GeoIP, company, hosting type.</t>
  </si>
  <si>
    <t>https://ipinfo.io/</t>
  </si>
  <si>
    <t>MXToolbox</t>
  </si>
  <si>
    <t>Email-фокус toolkit. SPF/DKIM/DMARC validation, MX lookup, blacklist check (SBL, XBL, RBL), header analyzer. Стандарт для расследования phishing-email.</t>
  </si>
  <si>
    <t>Email security recon</t>
  </si>
  <si>
    <t>Domain → SPF/DKIM/DMARC, MX, blacklist.</t>
  </si>
  <si>
    <t>https://mxtoolbox.com/</t>
  </si>
  <si>
    <t>Online: File Analysis</t>
  </si>
  <si>
    <t>TrID (online)</t>
  </si>
  <si>
    <t>Web / CLI</t>
  </si>
  <si>
    <t>File type identifier. Определяет реальный формат файла по magic bytes и structure — важно при obfuscation (файл с расширением .jpg оказывается .exe).</t>
  </si>
  <si>
    <t>trid</t>
  </si>
  <si>
    <t>File identification</t>
  </si>
  <si>
    <t>Magic bytes/structure → возможные форматы с процентами.</t>
  </si>
  <si>
    <t>https://mark0.net/soft-trid-e.html</t>
  </si>
  <si>
    <t>Online: Deobfuscation</t>
  </si>
  <si>
    <t>CyberChef</t>
  </si>
  <si>
    <t>Free / Open Source</t>
  </si>
  <si>
    <t>«The Cyber Swiss Army Knife» от GCHQ. Визуальный конструктор recipes: encoding/decoding (base64, hex, URL), шифры (AES, RSA), hashing, regex extraction, compression. Обязательный инструмент SOC analyst. Можно развернуть локально.</t>
  </si>
  <si>
    <t>— (web/offline HTML)</t>
  </si>
  <si>
    <t>Data manipulation, decoding</t>
  </si>
  <si>
    <t>Any data → chains of transforms; PowerShell/JS deobfuscation.</t>
  </si>
  <si>
    <t>https://gchq.github.io/CyberChef/</t>
  </si>
  <si>
    <t>CyberBro</t>
  </si>
  <si>
    <t>Web / Docker</t>
  </si>
  <si>
    <t>Docker-приложение для извлечения IOC из произвольного «garbage input» (email тело, лог, alert) + автоматическая проверка репутации через multiple CTI services (VT, AbuseIPDB, AlienVault и др.). Автоматизирует «parse и enrich» фазу triage.</t>
  </si>
  <si>
    <t>cyberbro (Docker)</t>
  </si>
  <si>
    <t>IOC extraction + enrichment</t>
  </si>
  <si>
    <t>Free text → все IOC + reputation reports.</t>
  </si>
  <si>
    <t>https://github.com/stanfrbd/cyberbro</t>
  </si>
  <si>
    <t>de4js</t>
  </si>
  <si>
    <t>JavaScript deobfuscator/unpacker. Поддерживает распространённые packers: Eval, JSFuck, AAEncode, JJEncode, P.A.C.K.E.R, Obfuscator.io. Критический для разбора malicious JavaScript в phishing/web-attacks.</t>
  </si>
  <si>
    <t>JS deobfuscation</t>
  </si>
  <si>
    <t>Obfuscated JS → читаемый код.</t>
  </si>
  <si>
    <t>https://lelinhtinh.github.io/de4js/</t>
  </si>
  <si>
    <t>Online: Hash</t>
  </si>
  <si>
    <t>MD5/SHA1 reverse lookup (md5center, crackstation)</t>
  </si>
  <si>
    <t>Reverse hash lookup (rainbow tables). Полезно при forensic-анализе: формат hash, найденный в памяти/логах, может быть уже в базе (пароль уже «вытекал»). Для сложных hash с salt — hashcat/john локально.</t>
  </si>
  <si>
    <t>Hash cracking</t>
  </si>
  <si>
    <t>Hash → plaintext (если в базе).</t>
  </si>
  <si>
    <t>https://crackstation.net/</t>
  </si>
  <si>
    <t>PCAP.click / PacketTotal successor</t>
  </si>
  <si>
    <t>Online PCAP search engine. &gt;100K PCAP в репозитории — можно искать через IOC, фамилии вредоносов, protocol-паттерны. Преемник PacketTotal.</t>
  </si>
  <si>
    <t>PCAP search</t>
  </si>
  <si>
    <t>PCAP → alerts, behaviour, related samples.</t>
  </si>
  <si>
    <t>Как работать: кликните по названию листа в таблице ниже для быстрого перехода. Цвет в колонке «Блок» группирует листы по назначению. Бирюзовые ячейки — самые популярные события/инструменты, которые встречаются практически в каждом инциденте.</t>
  </si>
  <si>
    <t>Windows: события</t>
  </si>
  <si>
    <t>XDR / MDR</t>
  </si>
  <si>
    <t>F6 Managed XDR</t>
  </si>
  <si>
    <t>Коммерческий</t>
  </si>
  <si>
    <t>On-premise / SaaS</t>
  </si>
  <si>
    <t>Российская платформа класса Managed XDR от F6 (ранее F.A.C.C.T.). Объединяет EDR (защита конечных точек), NTA (анализ сетевого трафика), защиту email и Malware Detonation Platform (песочница). Обеспечивает полный цикл SOC: мониторинг 24/7, автоматическую приоритизацию инцидентов, изоляцию заражённых хостов и реагирование силами аналитиков F6. Поддержка SIGMA-правил, интеграция с ГосСОПКА. Внесён в реестр ПО Минцифры.</t>
  </si>
  <si>
    <t>XDR / MDR / EDR</t>
  </si>
  <si>
    <t>Управляемая защита с полным циклом SOC: мониторинг → изоляция → реагирование.</t>
  </si>
  <si>
    <t>https://www.f6.ru/products/managed-xdr/</t>
  </si>
  <si>
    <t>IRP / SOAR</t>
  </si>
  <si>
    <t>R-Vision SOAR</t>
  </si>
  <si>
    <t>On-premise</t>
  </si>
  <si>
    <t>Российская SOAR-платформа для автоматизации реагирования и повышения эффективности SOC (ранее R-Vision IRP). Агрегирует данные об инцидентах из множества источников, автоматически обогащает контекст, запускает no-code сценарии реагирования, координирует работу аналитиков SOC в едином окне. Поддерживает интеграцию с ГосСОПКА (НКЦКИ), IoC, REST API, коннекторы Python. Сертифицирована ФСТЭК по 4-му уровню доверия.</t>
  </si>
  <si>
    <t>SOAR / IRP</t>
  </si>
  <si>
    <t>Автоматизация реагирования: инцидент → обогащение → no-code сценарий → отчёт.</t>
  </si>
  <si>
    <t>https://rvision.ru/products/soar</t>
  </si>
  <si>
    <t>https://learn.microsoft.com/en-us/windows/security/threat-protection/auditing/event-4624</t>
  </si>
  <si>
    <t>https://learn.microsoft.com/en-us/windows/security/threat-protection/auditing/event-4625</t>
  </si>
  <si>
    <t>https://learn.microsoft.com/en-us/windows/security/threat-protection/auditing/event-4688</t>
  </si>
  <si>
    <t>https://learn.microsoft.com/en-us/windows/security/threat-protection/auditing/event-1102</t>
  </si>
  <si>
    <t>https://learn.microsoft.com/en-us/windows/security/threat-protection/auditing/event-4698</t>
  </si>
  <si>
    <t>https://learn.microsoft.com/en-us/windows/security/threat-protection/auditing/event-5140</t>
  </si>
  <si>
    <t>https://learn.microsoft.com/en-us/windows/security/threat-protection/auditing/event-4657</t>
  </si>
  <si>
    <t>https://learn.microsoft.com/en-us/windows/security/threat-protection/auditing/event-4946</t>
  </si>
  <si>
    <t>https://learn.microsoft.com/en-us/windows/security/threat-protection/auditing/event-4782</t>
  </si>
  <si>
    <t>https://learn.microsoft.com/en-us/windows/security/threat-protection/auditing/event-4776</t>
  </si>
  <si>
    <t>https://learn.microsoft.com/en-us/windows/security/threat-protection/auditing/event-4720</t>
  </si>
  <si>
    <t>https://learn.microsoft.com/en-us/windows/security/threat-protection/auditing/event-4697</t>
  </si>
  <si>
    <t>https://learn.microsoft.com/en-us/windows/security/threat-protection/auditing/event-4672</t>
  </si>
  <si>
    <t>https://learn.microsoft.com/en-us/windows/security/threat-protection/auditing/event-5156</t>
  </si>
  <si>
    <t>https://learn.microsoft.com/en-us/windows/security/threat-protection/auditing/event-4634</t>
  </si>
  <si>
    <t>https://learn.microsoft.com/en-us/windows/security/threat-protection/auditing/event-4699</t>
  </si>
  <si>
    <t>https://learn.microsoft.com/en-us/windows/security/threat-protection/auditing/event-5145</t>
  </si>
  <si>
    <t>https://learn.microsoft.com/en-us/windows/security/threat-protection/auditing/event-4740</t>
  </si>
  <si>
    <t>https://learn.microsoft.com/en-us/windows/security/threat-protection/auditing/event-4726</t>
  </si>
  <si>
    <t>https://learn.microsoft.com/en-us/windows/security/threat-protection/auditing/event-4768</t>
  </si>
  <si>
    <t>https://learn.microsoft.com/en-us/windows/security/threat-protection/auditing/event-4648</t>
  </si>
  <si>
    <t>https://learn.microsoft.com/en-us/windows/security/threat-protection/auditing/event-4769</t>
  </si>
  <si>
    <t>https://learn.microsoft.com/en-us/windows/security/threat-protection/auditing/event-4725</t>
  </si>
  <si>
    <t>https://learn.microsoft.com/en-us/windows/security/threat-protection/auditing/event-4724</t>
  </si>
  <si>
    <t>https://learn.microsoft.com/en-us/windows/security/threat-protection/auditing/event-4722</t>
  </si>
  <si>
    <t>https://learn.microsoft.com/en-us/windows/security/threat-protection/auditing/event-4728</t>
  </si>
  <si>
    <t>https://learn.microsoft.com/en-us/windows/security/threat-protection/auditing/event-4729</t>
  </si>
  <si>
    <t>https://learn.microsoft.com/en-us/windows/security/threat-protection/auditing/event-4732</t>
  </si>
  <si>
    <t>https://learn.microsoft.com/en-us/windows/security/threat-protection/auditing/event-4689</t>
  </si>
  <si>
    <t>https://learn.microsoft.com/en-us/windows/security/threat-protection/auditing/event-4702</t>
  </si>
  <si>
    <t>https://learn.microsoft.com/en-us/windows/security/threat-protection/auditing/event-4656</t>
  </si>
  <si>
    <t>https://learn.microsoft.com/en-us/windows/security/threat-protection/auditing/event-4663</t>
  </si>
  <si>
    <t>https://learn.microsoft.com/en-us/windows/security/threat-protection/auditing/event-4662</t>
  </si>
  <si>
    <t>https://learn.microsoft.com/en-us/windows/security/threat-protection/auditing/event-4673</t>
  </si>
  <si>
    <t>https://learn.microsoft.com/en-us/windows/security/threat-protection/auditing/event-4608</t>
  </si>
  <si>
    <t>https://learn.microsoft.com/en-us/windows/security/threat-protection/auditing/event-4616</t>
  </si>
  <si>
    <t>https://learn.microsoft.com/en-us/windows/security/threat-protection/auditing/event-4947</t>
  </si>
  <si>
    <t>https://learn.microsoft.com/en-us/windows/security/threat-protection/auditing/event-5157</t>
  </si>
  <si>
    <t>https://learn.microsoft.com/en-us/windows/security/threat-protection/auditing/event-4778</t>
  </si>
  <si>
    <t>https://learn.microsoft.com/en-us/windows/security/threat-protection/auditing/event-4779</t>
  </si>
  <si>
    <t>https://learn.microsoft.com/en-us/windows/security/threat-protection/auditing/event-4800</t>
  </si>
  <si>
    <t>https://learn.microsoft.com/en-us/windows/security/threat-protection/auditing/event-4801</t>
  </si>
  <si>
    <t>https://learn.microsoft.com/en-us/windows/security/threat-protection/auditing/event-4771</t>
  </si>
  <si>
    <t>https://learn.microsoft.com/en-us/windows/security/threat-protection/auditing/event-4767</t>
  </si>
  <si>
    <t>https://learn.microsoft.com/en-us/windows/security/threat-protection/auditing/event-4738</t>
  </si>
  <si>
    <t>https://learn.microsoft.com/en-us/windows/security/threat-protection/auditing/event-4754</t>
  </si>
  <si>
    <t>https://learn.microsoft.com/en-us/windows/security/threat-protection/auditing/event-4755</t>
  </si>
  <si>
    <t>https://learn.microsoft.com/en-us/windows/security/threat-protection/auditing/event-4670</t>
  </si>
  <si>
    <t>https://learn.microsoft.com/en-us/windows/security/threat-protection/auditing/event-4912</t>
  </si>
  <si>
    <t>https://learn.microsoft.com/en-us/windows/security/threat-protection/auditing/event-4715</t>
  </si>
  <si>
    <t>https://learn.microsoft.com/en-us/windows/security/threat-protection/auditing/event-4704</t>
  </si>
  <si>
    <t>https://learn.microsoft.com/en-us/windows/security/threat-protection/auditing/event-4719</t>
  </si>
  <si>
    <t>https://learn.microsoft.com/en-us/windows/security/threat-protection/auditing/event-4798</t>
  </si>
  <si>
    <t>https://learn.microsoft.com/en-us/windows/security/threat-protection/auditing/event-4799</t>
  </si>
  <si>
    <t>https://learn.microsoft.com/en-us/windows/security/threat-protection/auditing/event-5136</t>
  </si>
  <si>
    <t>https://learn.microsoft.com/en-us/windows/security/threat-protection/auditing/event-5137</t>
  </si>
  <si>
    <t>https://learn.microsoft.com/en-us/windows/security/threat-protection/auditing/event-5138</t>
  </si>
  <si>
    <t>https://learn.microsoft.com/en-us/windows/security/threat-protection/auditing/event-5142</t>
  </si>
  <si>
    <t>https://learn.microsoft.com/en-us/windows/security/threat-protection/auditing/event-4703</t>
  </si>
  <si>
    <t>https://learn.microsoft.com/en-us/windows/security/threat-protection/auditing/event-552</t>
  </si>
  <si>
    <t>https://learn.microsoft.com/en-us/windows/security/threat-protection/auditing/event-5031</t>
  </si>
  <si>
    <t>https://learn.microsoft.com/en-us/windows/security/threat-protection/auditing/event-4660</t>
  </si>
  <si>
    <t>https://learn.microsoft.com/en-us/windows/security/threat-protection/auditing/event-4904</t>
  </si>
  <si>
    <t>https://learn.microsoft.com/en-us/windows/security/threat-protection/auditing/event-4906</t>
  </si>
  <si>
    <t>https://learn.microsoft.com/en-us/windows/security/threat-protection/auditing/event-4907</t>
  </si>
  <si>
    <t>https://learn.microsoft.com/en-us/windows/security/threat-protection/auditing/event-4611</t>
  </si>
  <si>
    <t>https://learn.microsoft.com/en-us/windows/security/threat-protection/auditing/event-4665</t>
  </si>
  <si>
    <t>https://learn.microsoft.com/en-us/windows/security/threat-protection/auditing/event-4690</t>
  </si>
  <si>
    <t>https://learn.microsoft.com/en-us/windows/security/threat-protection/auditing/event-4696</t>
  </si>
  <si>
    <t>https://learn.microsoft.com/en-us/windows/security/threat-protection/auditing/event-4723</t>
  </si>
  <si>
    <t>https://learn.microsoft.com/en-us/windows/security/threat-protection/auditing/event-4897</t>
  </si>
  <si>
    <t>https://learn.microsoft.com/en-us/windows/security/threat-protection/auditing/event-4626</t>
  </si>
  <si>
    <t>https://learn.microsoft.com/en-us/windows/security/threat-protection/auditing/event-4627</t>
  </si>
  <si>
    <t>https://learn.microsoft.com/en-us/windows/security/threat-protection/auditing/event-4674</t>
  </si>
  <si>
    <t>https://learn.microsoft.com/en-us/windows/security/threat-protection/auditing/event-4717</t>
  </si>
  <si>
    <t>https://learn.microsoft.com/en-us/windows/security/threat-protection/auditing/event-4718</t>
  </si>
  <si>
    <t>https://learn.microsoft.com/en-us/windows/security/threat-protection/auditing/event-4733</t>
  </si>
  <si>
    <t>https://learn.microsoft.com/en-us/windows/security/threat-protection/auditing/event-4741</t>
  </si>
  <si>
    <t>https://learn.microsoft.com/en-us/windows/security/threat-protection/auditing/event-4743</t>
  </si>
  <si>
    <t>https://learn.microsoft.com/en-us/windows/security/threat-protection/auditing/event-4794</t>
  </si>
  <si>
    <t>https://learn.microsoft.com/en-us/windows/security/threat-protection/auditing/event-4816</t>
  </si>
  <si>
    <t>https://learn.microsoft.com/en-us/windows/security/threat-protection/auditing/event-1101</t>
  </si>
  <si>
    <t>https://learn.microsoft.com/en-us/windows/security/threat-protection/auditing/event-1104</t>
  </si>
  <si>
    <t>https://learn.microsoft.com/en-us/windows/security/threat-protection/auditing/event-1105</t>
  </si>
  <si>
    <t>https://learn.microsoft.com/en-us/windows/security/threat-protection/auditing/event-1108</t>
  </si>
  <si>
    <t>https://learn.microsoft.com/en-us/windows/security/threat-protection/auditing/event-4609</t>
  </si>
  <si>
    <t>https://learn.microsoft.com/en-us/windows/security/threat-protection/auditing/event-4647</t>
  </si>
  <si>
    <t>https://learn.microsoft.com/en-us/windows/security/threat-protection/auditing/event-4700</t>
  </si>
  <si>
    <t>https://learn.microsoft.com/en-us/windows/security/threat-protection/auditing/event-4701</t>
  </si>
  <si>
    <t>https://learn.microsoft.com/en-us/windows/security/threat-protection/auditing/event-4902</t>
  </si>
  <si>
    <t>https://learn.microsoft.com/en-us/windows/security/threat-protection/auditing/event-5152</t>
  </si>
  <si>
    <t>False Positive (легитимные срабатывания)</t>
  </si>
  <si>
    <t>• Начало рабочего дня — массовые входы пользователей
• Service-аккаунты (LT=5) и плановые задачи
• LT=3 при доступе к файловым шарам, печати, GPO
• LT=7 — разблокировка экрана после простоя</t>
  </si>
  <si>
    <t>• Истёкший/забытый пароль, опечатки пользователя
• Кэшированные креды после смены пароля (телефоны, RDP-клиенты)
• Просроченные service-аккаунты в задачах/службах
• Рассинхрон времени с DC (Kerberos)</t>
  </si>
  <si>
    <t>• Легитимная DC-репликация между контроллерами домена
• Резервное копирование/восстановление AD
• Плановые операции Azure AD Connect</t>
  </si>
  <si>
    <t>• NTLM-аутентификация к старым приложениям/файловым шарам
• Доступ по IP вместо FQDN (Kerberos недоступен)
• Сторонние/legacy-устройства (МФУ, сканеры, NAS)</t>
  </si>
  <si>
    <t>• Штатный онбординг новых сотрудников через IDM/HR-систему
• Автоматическое создание service-аккаунтов при установке ПО
• Плановое развёртывание через скрипты/GPO</t>
  </si>
  <si>
    <t>• Штатное завершение сессии пользователем
• Таймаут простоя, перезагрузка/выключение ПК
• Закрытие RDP-сессии</t>
  </si>
  <si>
    <t>• Пользователь забыл/перепутал пароль (норма)
• Кэшированные креды на мобильных устройствах
• Service-аккаунт с устаревшим паролем в задаче</t>
  </si>
  <si>
    <t>• Штатный офбординг уволенных сотрудников через IDM
• Очистка временных/тестовых учёток администратором
• Плановая чистка AD</t>
  </si>
  <si>
    <t>• Запуск легитимного ПО и системных процессов
• Обновления, установщики (msiexec, setup.exe)
• Скрипты обслуживания, антивирус, EDR-агенты
• Очень шумное событие — нужна фильтрация baseline</t>
  </si>
  <si>
    <t>• Установка легитимного ПО и драйверов
• Обновления Windows и сторонних продуктов
• Развёртывание агентов (EDR, мониторинг) через SCCM</t>
  </si>
  <si>
    <t>• То же, что 4697 — легитимная установка ПО/драйверов
• Часто фиксируется до включения аудита Security (4697)</t>
  </si>
  <si>
    <t>• Штатные изменения конфигурации ПО
• Обновления, установка приложений
• Применение GPO и политик — очень шумное событие</t>
  </si>
  <si>
    <t>• Любой штатный доступ к файлам/реестру при включённом SACL
• Резервное копирование, индексация, антивирусное сканирование
• Крайне шумное — фильтровать по объекту/процессу</t>
  </si>
  <si>
    <t>• Штатная работа пользователей с файловыми шарами
• Доступ к общим папкам, профилям, GPO (SYSVOL/NETLOGON)
• Очень высокочастотное событие</t>
  </si>
  <si>
    <t>• Перечисление шар легитимными приложениями
• Резервное копирование, инвентаризация
• Доступ к SYSVOL/NETLOGON при входе</t>
  </si>
  <si>
    <t>• Легитимные админ-скрипты и автоматизация
• Модули мониторинга, EDR, инвентаризации
• DSC, пакеты развёртывания — фильтровать по подписи/пути</t>
  </si>
  <si>
    <t>• Штатные административные команды PowerShell
• Скрипты обслуживания и автоматизации
• Легитимные модули (AD, Exchange, Azure)</t>
  </si>
  <si>
    <t>• Установка ПО, открывающего порты (legitimate listeners)
• Обновления, настройка приложений администратором
• Развёртывание через GPO/SCCM</t>
  </si>
  <si>
    <t>• Любая штатная сетевая активность приложений
• Обновления, облачные сервисы, телеметрия
• Крайне шумное — использовать только с фильтрами портов/процессов</t>
  </si>
  <si>
    <t>• Практически отсутствуют — почти всегда требует внимания
• Возможны при официальном архивировании/ротации журналов регламентом
• Тестирование политик аудита администратором</t>
  </si>
  <si>
    <t>• Начало рабочего дня, массовые входы
• Service-аккаунты (LT=5), плановые задачи
• LT=3 к файловым шарам/печати/GPO
• LT=7 — разблокировка экрана</t>
  </si>
  <si>
    <t>• Забытый/истёкший пароль, опечатки
• Кэшированные креды после смены пароля
• Просроченные service-аккаунты в задачах
• Рассинхрон времени с DC</t>
  </si>
  <si>
    <t>• Запуск легитимного ПО и системных процессов
• Установщики (msiexec, setup), обновления
• EDR/антивирус, скрипты обслуживания
• Очень шумное — нужен baseline</t>
  </si>
  <si>
    <t>• Практически отсутствуют — почти всегда требует внимания
• Регламентная ротация/архивирование журналов
• Тестирование политик аудита</t>
  </si>
  <si>
    <t>• Штатные админ-скрипты PowerShell
• Модули AD/Exchange/Azure, DSC
• Легитимная автоматизация и мониторинг</t>
  </si>
  <si>
    <t>• Легитимный RDP-доступ администратора/пользователя
• Подключение к VDI/RDS-ферме
• Jump-хосты и бастионы</t>
  </si>
  <si>
    <t>• GPO/SCCM развёртывание задач обслуживания
• Установка ПО, создающего задачи (обновления)
• Резервное копирование, антивирус</t>
  </si>
  <si>
    <t>• Штатная работа с файловыми шарами
• Доступ к SYSVOL/NETLOGON, профилям
• Очень высокочастотное</t>
  </si>
  <si>
    <t>• Штатные изменения конфигурации ПО
• Установка/обновления приложений
• Применение GPO — очень шумное</t>
  </si>
  <si>
    <t>• Установка ПО, требующего входящих соединений
• Настройка приложений администратором
• Развёртывание правил через GPO</t>
  </si>
  <si>
    <t>• Легитимная работа с LSASS форензикой/EDR
• Очень редкое событие — почти всегда требует проверки
• Резервное копирование SAM/AD</t>
  </si>
  <si>
    <t>• NTLM к legacy-приложениям и файловым шарам
• Доступ по IP вместо FQDN
• МФУ, сканеры, NAS, legacy-устройства</t>
  </si>
  <si>
    <t>• Онбординг через IDM/HR-систему
• Автосоздание service-аккаунтов при установке ПО
• Плановое развёртывание через скрипты</t>
  </si>
  <si>
    <t>• Установка легитимного ПО/драйверов
• Обновления Windows, развёртывание агентов
• Переустановка служб через SCCM</t>
  </si>
  <si>
    <t>• Администраторы и service-аккаунты при входе (штатно)
• SYSTEM и системные службы
• Частое для админских хостов</t>
  </si>
  <si>
    <t>• Любая сетевая активность легитимных приложений
• Обновления, облачные сервисы, телеметрия
• Крайне шумное — фильтровать по портам/процессам</t>
  </si>
  <si>
    <t>• Штатные админ-команды PowerShell
• Скрипты обслуживания и автоматизации
• Легитимные модули (AD, Exchange)</t>
  </si>
  <si>
    <t>• Штатное завершение сессии пользователем
• Таймаут, перезагрузка/выключение
• Очень высокочастотное, малоинформативное</t>
  </si>
  <si>
    <t>• Пересоздание задач при обновлении ПО
• Очистка устаревших задач администратором
• Удаление через GPO/SCCM</t>
  </si>
  <si>
    <t>• Пользователь забыл пароль (норма)
• Кэшированные креды на мобильных устройствах
• Service-аккаунт с устаревшим паролем</t>
  </si>
  <si>
    <t>• Офбординг уволенных через IDM
• Очистка тестовых/временных учёток
• Плановая чистка AD</t>
  </si>
  <si>
    <t>• Любой легитимный вход в домене (очень частое)
• Получение TGT при входе на рабочую станцию
• RC4 возможен в legacy-средах (не всегда атака)</t>
  </si>
  <si>
    <t>• RunAs администратором (запуск от имени другого)
• Скрипты с -Credential, scheduled tasks
• Приложения с имперсонацией</t>
  </si>
  <si>
    <t>• Любой доступ к сетевым службам (очень частое)
• Доступ к файловым шарам, принтерам
• RC4 в legacy-средах — не всегда Kerberoasting</t>
  </si>
  <si>
    <t>• Сброс пароля хелпдеском/админом (штатно)
• Самообслуживание через SSPR-портал
• Плановая ротация паролей service-аккаунтов</t>
  </si>
  <si>
    <t>• Реактивация учётки после отпуска/возвращения сотрудника
• Штатное управление через IDM
• Снятие временной блокировки</t>
  </si>
  <si>
    <t>• Штатное управление членством через IDM
• Онбординг/перевод сотрудника
• Критично только для привилегированных групп</t>
  </si>
  <si>
    <t>• Штатное удаление из групп через IDM
• Офбординг/перевод сотрудника
• Пересмотр прав (access review)</t>
  </si>
  <si>
    <t>• Штатное управление локальными группами
• Добавление в Administrators при развёртывании
• Критично для лок. Administrators/RDP Users</t>
  </si>
  <si>
    <t>• Штатное завершение любого процесса
• Очень высокочастотное, малоинформативное
• Полезно только для корреляции с 4688</t>
  </si>
  <si>
    <t>• Обновление задач при патчах/обновлениях ПО
• Изменение расписания администратором
• Легитимные системные задачи</t>
  </si>
  <si>
    <t>• Штатный доступ к объектам при включённом SACL
• Резерв, индексация, антивирусное сканирование
• Крайне шумное — фильтровать по объекту</t>
  </si>
  <si>
    <t>• Штатный доступ к файлам/папкам при SACL
• Работа пользователей с документами
• Крайне шумное — нужен baseline и фильтры</t>
  </si>
  <si>
    <t>• Легитимная DC-репликация между контроллерами
• Azure AD Connect, AD-бэкап
• Критично только при DCSync GUID с не-DC</t>
  </si>
  <si>
    <t>• Системные службы с привилегиями
• Резервное ПО, антивирус, дефрагментация
• Очень шумное — фильтровать по привилегиям</t>
  </si>
  <si>
    <t>• Обычная загрузка/перезагрузка ПК (штатно)
• Плановое обслуживание, патчи
• Полезно для корреляции с 1102</t>
  </si>
  <si>
    <t>• Синхронизация времени с NTP/DC (w32time)
• Смена часового пояса/летнего времени
• Критично при ручном сдвиге (анти-форензика)</t>
  </si>
  <si>
    <t>• Обновление правил при установке ПО
• Изменение правил администратором/GPO
• Применение политик брандмауэра</t>
  </si>
  <si>
    <t>• Любой заблокированный трафик (часто шум)
• Ненастроенные приложения, сканеры сети
• Крайне шумное — фильтровать по процессу/порту</t>
  </si>
  <si>
    <t>• Переподключение к RDP-сессии после обрыва
• Переход между устройствами в VDI
• Штатная работа админов через RDP</t>
  </si>
  <si>
    <t>• Временный обрыв RDP-сессии (сеть)
• Пользователь закрыл окно без выхода
• Переключение между сессиями</t>
  </si>
  <si>
    <t>• Блокировка экрана пользователем (Win+L)
• Автоблокировка по таймауту простоя
• Очень частое, малоинформативное</t>
  </si>
  <si>
    <t>• Разблокировка экрана пользователем
• Штатное возобновление работы
• Очень частое, малоинформативное</t>
  </si>
  <si>
    <t>• Рассинхрон времени клиента с DC
• Просроченные билеты, перевыпуск TGT
• Legacy/неправильно настроенные устройства</t>
  </si>
  <si>
    <t>• Разблокировка админом после локаута (штатно)
• Самообслуживание через SSPR
• Авторазблокировка по истечению таймаута</t>
  </si>
  <si>
    <t>• Обновление атрибутов учётки через IDM/HR
• Смена отдела, должности, описания
• Критично при изменении UAC/SPN флагов</t>
  </si>
  <si>
    <t>• Штатное создание групп при проектах
• Развёртывание новых ресурсов/приложений
• Редкое событие</t>
  </si>
  <si>
    <t>• Штатное изменение группы администратором
• Переименование/изменение scope группы
• Редкое событие</t>
  </si>
  <si>
    <t>• Изменение ACL при развёртывании ПО
• Административная настройка прав доступа
• Критично для чувствительных объектов/AdminSDHolder</t>
  </si>
  <si>
    <t>• Изменение политики аудита администратором
• Настройка мониторинга/SIEM
• Редкое — проверять контекст</t>
  </si>
  <si>
    <t>• Изменение SACL при настройке аудита
• Развёртывание политик через GPO
• Редкое событие</t>
  </si>
  <si>
    <t>• Назначение прав через GPO/при развёртывании
• Настройка service-аккаунтов (LogonAsService)
• Критично для SeDebug/SeBackup/SeTcb</t>
  </si>
  <si>
    <t>• Изменение политики аудита админом/GPO
• Настройка сбора логов
• Критично при отключении аудита перед атакой</t>
  </si>
  <si>
    <t>• Легитимные IT-инструменты и скрипты (AD-аудит)
• Инвентаризация, проверки соответствия
• Критично при BloodHound/SharpHound</t>
  </si>
  <si>
    <t>• Легитимные IT-инструменты и аудит AD
• Инвентаризация групп
• Критично при массовом перечислении (recon)</t>
  </si>
  <si>
    <t>• Штатные изменения объектов AD через IDM
• Репликация, обновление атрибутов
• Очень шумное на DC — фильтровать</t>
  </si>
  <si>
    <t>• Штатное создание объектов AD
• Онбординг, развёртывание OU/объектов
• Шумное на DC</t>
  </si>
  <si>
    <t>• Административное восстановление объекта из Recycle Bin
• Восстановление после ошибочного удаления
• Редкое событие</t>
  </si>
  <si>
    <t>• Создание файловых шар администратором
• Развёртывание общих ресурсов
• Критично при создании скрытых шар (имя$)</t>
  </si>
  <si>
    <t>• Штатная работа с токенами легитимными приложениями
• Службы с имперсонацией (IIS, SQL)
• Шумное — фильтровать по привилегиям</t>
  </si>
  <si>
    <t>• Альтернативный/устаревший код для 4648
• RunAs, scheduled tasks с явными кредами
• Встречается на старых OS (Win2003/XP)</t>
  </si>
  <si>
    <t>• Любой заблокированный трафик (часто шум)
• Ненастроенные приложения
• Крайне шумное — фильтровать</t>
  </si>
  <si>
    <t>• Штатное удаление файлов/объектов при SACL
• Очистка временных файлов, удаление документов
• Шумное — коррелировать с 4663</t>
  </si>
  <si>
    <t>• Установка ПО, регистрирующего источник событий
• Легитимные приложения с логированием
• Критично при подмене источника (log injection)</t>
  </si>
  <si>
    <t>• Настройка поведения при переполнении журнала админом
• Настройка аудит-политики
• Критично при отключении (анти-форензика)</t>
  </si>
  <si>
    <t>• Изменение SACL объекта при настройке аудита
• Развёртывание политик через GPO
• Редкое событие</t>
  </si>
  <si>
    <t>• Любое входящее RDP-соединение (штатно)
• Попытки подключения до аутентификации
• Сканеры/мониторинг создают шум</t>
  </si>
  <si>
    <t>• Запуск/перезапуск службы RDP (штатно)
• Перезагрузка сервера
• Малоинформативное</t>
  </si>
  <si>
    <t>• Штатное подключение по RDP (графика)
• Обычная работа RDP-сессии
• Малоинформативное, техническое</t>
  </si>
  <si>
    <t>• Штатное установление RDP-сессии (техническое)
• Обычная работа RDP
• Малоинформативное</t>
  </si>
  <si>
    <t>• Штатное установление RDP-сессии (техническое)
• Обычная работа
• Малоинформативное, техническое</t>
  </si>
  <si>
    <t>• Применение GPO (штатно)
• Изменение политик администратором
• Малоинформативное</t>
  </si>
  <si>
    <t>• Отсутствие роли RDS (штатно при обычном RDP)
• Информационное сообщение
• Малоинформативное</t>
  </si>
  <si>
    <t>• Штатная регистрация процесса входа в LSA
• Загрузка системы, старт служб
• Критично при регистрации неизвестного провайдера</t>
  </si>
  <si>
    <t>• Штатная работа приложений с безопасными контекстами
• RPC/COM-вызовы
• Малоинформативное, техническое</t>
  </si>
  <si>
    <t>• Легитимное дублирование дескрипторов приложениями
• Штатная работа процессов
• Критично при доступе к lsass (token theft)</t>
  </si>
  <si>
    <t>• Штатный запуск процессов с первичным токеном
• Системные службы, вход пользователя
• Малоинформативное</t>
  </si>
  <si>
    <t>• Смена пароля пользователем (штатно)
• Плановая смена по истечению срока
• Отличать от 4724 (сброс админом)</t>
  </si>
  <si>
    <t>• Штатная настройка разделения ролей (CA)
• Администрирование PKI
• Очень редкое событие</t>
  </si>
  <si>
    <t>• Штатный вход с claims (Dynamic Access Control)
• Работа с device claims
• Малоинформативное, техническое</t>
  </si>
  <si>
    <t>• Штатный вход с информацией о группах
• Сопровождает 4624 (членство)
• Малоинформативное, техническое</t>
  </si>
  <si>
    <t>• Легитимное использование привилегированных операций
• Админ-задачи, системные службы
• Шумное — фильтровать по привилегиям</t>
  </si>
  <si>
    <t>• Настройка прав через GPO/админом
• Развёртывание service-аккаунтов
• Критично для опасных прав (SeDebug и др.)</t>
  </si>
  <si>
    <t>• Отзыв прав через GPO/админом (штатно)
• Пересмотр прав доступа
• Редкое событие</t>
  </si>
  <si>
    <t>• Штатное удаление из локальной группы
• Офбординг, перевод сотрудника
• Критично для Administrators/RDP Users</t>
  </si>
  <si>
    <t>• Штатный ввод ПК в домен (domain join)
• Развёртывание новых рабочих станций
• Критично при массовом создании (атака)</t>
  </si>
  <si>
    <t>• Вывод ПК из домена при списании/переустановке
• Чистка старых объектов AD
• Редкое событие</t>
  </si>
  <si>
    <t>• Настройка DSRM-пароля при продвижении DC
• Плановое обслуживание DC
• Критично (DSRM как backdoor на DC)</t>
  </si>
  <si>
    <t>• Сетевые проблемы/сбои RPC (шум)
• Несовпадение версий протокола
• Критично при эксплуатации RPC-уязвимостей</t>
  </si>
  <si>
    <t>• Высокая загрузка системы аудита (штатно при пиках)
• Недостаточная производительность SIEM-коллектора
• Критично при намеренном переполнении (DoS аудита)</t>
  </si>
  <si>
    <t>• Малый размер журнала и высокая активность (мисконфиг)
• Пики аудит-событий
• Критично — может маскировать атаку</t>
  </si>
  <si>
    <t>• Штатное авторезервирование при заполнении журнала
• Настроенная ротация логов
• Малоинформативное</t>
  </si>
  <si>
    <t>• Сбои службы журнала (ресурсы, повреждённые файлы)
• Проблемы после обновлений
• Критично при намеренной остановке аудита</t>
  </si>
  <si>
    <t>• Обычное выключение/перезагрузка ПК (штатно)
• Плановое обслуживание/патчи
• Коррелировать с 1102/4608</t>
  </si>
  <si>
    <t>• Штатный выход пользователя из системы
• Завершение сессии
• Малоинформативное, высокочастотное</t>
  </si>
  <si>
    <t>• Активация задачи админом/при развёртывании
• Обновления ПО
• Малоинформативное</t>
  </si>
  <si>
    <t>• Отключение задачи админом (штатно)
• Обслуживание и чистка задач
• Критично при отключении защитных задач</t>
  </si>
  <si>
    <t>• Настройка детального аудита по пользователям
• Развёртывание политик через GPO
• Редкое событие</t>
  </si>
  <si>
    <t>• Создание таблицы per-user аудита (техническое)
• Применение аудит-политики
• Малоинформативное</t>
  </si>
  <si>
    <t>Изменение учетной записи компьютера</t>
  </si>
  <si>
    <t>Атрибуты учётной записи компьютера в AD были изменены.</t>
  </si>
  <si>
    <t>Содержит изменённые атрибуты компьютерной учётки: msDS-AllowedToDelegateTo, msDS-AllowedToActOnBehalfOfOtherIdentity (RBCD), SPN, флаги делегирования.</t>
  </si>
  <si>
    <t>• Изменение msDS-AllowedToActOnBehalfOfOtherIdentity (Resource-Based Constrained Delegation — RBCD attack)
• Добавление SPN к computer-аккаунту
• DCShadow (изменение атрибутов репликации)
• Изменение флагов делегирования (TRUSTED_FOR_DELEGATION)</t>
  </si>
  <si>
    <t>• Штатное обновление computer-аккаунта (смена пароля ПК каждые 30 дней)
• Настройка делегирования админом (легитимно)
• Регистрация SPN при установке служб</t>
  </si>
  <si>
    <t>T1098, T1207, T1187</t>
  </si>
  <si>
    <t>['Штатная смена пароля компьютерной учётки', 'Настройка делегирования для служб', 'Регистрация SPN приложением']</t>
  </si>
  <si>
    <t>https://learn.microsoft.com/en-us/windows/security/threat-protection/auditing/event-4742</t>
  </si>
  <si>
    <t>• Target Account — изменённая computer-учётка
• Subject — кто изменил
• msDS-AllowedToActOnBehalfOfOtherIdentity
• SPN, Service Principal Names</t>
  </si>
  <si>
    <t>index=wineventlog EventCode=4742
  AllowedToDelegateTo=* OR msDS_AllowedToActOnBehalfOfOtherIdentity=*
| table _time, host, SubjectUserName, TargetUserName, AllowedToDelegateTo</t>
  </si>
  <si>
    <t>4624 LT=3 (вход перед изменением)
4662 (DCShadow)
4769 (S4U после RBCD)
4741/4743 (создание/удаление computer)</t>
  </si>
  <si>
    <t>Добавление в универсальную группу безопасности</t>
  </si>
  <si>
    <t>Участник был добавлен в универсальную группу безопасности (часто Enterprise Admins / Schema Admins).</t>
  </si>
  <si>
    <t>Содержит имя группы, добавленного члена (SID), и кто выполнил операцию. Универсальные группы важны в многодоменном лесу (Enterprise/Schema Admins).</t>
  </si>
  <si>
    <t>• Добавление в Enterprise Admins / Schema Admins (forest-wide privilege escalation)
• Добавление в нерабочее время
• Быстрое добавление после создания учётки (4720)
• Добавление непривилегированным пользователем</t>
  </si>
  <si>
    <t>• Штатное управление группами администратором AD
• Онбординг через IDM
• Редкое событие — любое требует внимания для привилегированных групп</t>
  </si>
  <si>
    <t>['Штатное управление членством в универсальных группах', 'Назначение прав в многодоменном лесу']</t>
  </si>
  <si>
    <t>https://learn.microsoft.com/en-us/windows/security/threat-protection/auditing/event-4756</t>
  </si>
  <si>
    <t>• Group Name — имя универсальной группы
• Member — добавленный участник (SID)
• Subject — кто добавил</t>
  </si>
  <si>
    <t>index=wineventlog EventCode=4756
  TargetUserName IN (""Enterprise Admins"",""Schema Admins"")
| table _time, host, SubjectUserName, MemberName, TargetUserName</t>
  </si>
  <si>
    <t>4720 (создание учётки перед)
4728/4732 (другие привил. группы)
4624 (вход инициатора)</t>
  </si>
  <si>
    <t>Создана глобальная группа безопасности</t>
  </si>
  <si>
    <t>Была создана глобальная группа безопасности в домене.</t>
  </si>
  <si>
    <t>Содержит имя новой группы, SID и создателя. Создание групп — редкое административное действие.</t>
  </si>
  <si>
    <t>• Создание группы с именем, похожим на привилегированную
• Создание в нерабочее время
• Создание группы для последующего добавления прав (persistence)</t>
  </si>
  <si>
    <t>• Штатное создание групп при организации ролей
• Развёртывание новых приложений/сервисов
• Редкое событие</t>
  </si>
  <si>
    <t>T1098, T1136.002</t>
  </si>
  <si>
    <t>['Создание групп при организации доступа', 'Развёртывание приложений']</t>
  </si>
  <si>
    <t>https://learn.microsoft.com/en-us/windows/security/threat-protection/auditing/event-4727</t>
  </si>
  <si>
    <t>• Group Name — имя созданной группы
• Subject — создатель
• SID — идентификатор группы</t>
  </si>
  <si>
    <t>index=wineventlog EventCode IN (4727,4731,4734)
| table _time, host, SubjectUserName, TargetUserName, EventCode</t>
  </si>
  <si>
    <t>4728/4756 (добавление членов)
4731 (локальная группа)
4734 (удаление группы)</t>
  </si>
  <si>
    <t>Создана локальная группа безопасности</t>
  </si>
  <si>
    <t>Была создана локальная группа безопасности (доменная локальная).</t>
  </si>
  <si>
    <t>Содержит имя новой группы, SID и создателя.</t>
  </si>
  <si>
    <t>• Создание группы для последующего назначения прав
• Создание в нерабочее время
• Имя, похожее на системное</t>
  </si>
  <si>
    <t>• Штатное создание групп админом
• Развёртывание ПО
• Редкое событие</t>
  </si>
  <si>
    <t>['Создание локальных групп при организации доступа']</t>
  </si>
  <si>
    <t>https://learn.microsoft.com/en-us/windows/security/threat-protection/auditing/event-4731</t>
  </si>
  <si>
    <t>• Group Name — имя группы
• Subject — создатель</t>
  </si>
  <si>
    <t>index=wineventlog EventCode=4731
| table _time, host, SubjectUserName, TargetUserName</t>
  </si>
  <si>
    <t>4732 (добавление членов)
4734 (удаление группы)
4727 (глобальная группа)</t>
  </si>
  <si>
    <t>Удалена локальная группа безопасности</t>
  </si>
  <si>
    <t>Была удалена локальная группа безопасности.</t>
  </si>
  <si>
    <t>Содержит имя удалённой группы и кто удалил.</t>
  </si>
  <si>
    <t>• Удаление группы для сокрытия следов (anti-forensics)
• Удаление в нерабочее время
• Удаление после использования в атаке</t>
  </si>
  <si>
    <t>• Штатная чистка неиспользуемых групп
• Реорганизация ролей
• Редкое событие</t>
  </si>
  <si>
    <t>T1098, T1070</t>
  </si>
  <si>
    <t>['Очистка устаревших групп при реорганизации']</t>
  </si>
  <si>
    <t>https://learn.microsoft.com/en-us/windows/security/threat-protection/auditing/event-4734</t>
  </si>
  <si>
    <t>• Group Name — имя удалённой группы
• Subject — кто удалил</t>
  </si>
  <si>
    <t>index=wineventlog EventCode=4734
| table _time, host, SubjectUserName, TargetUserName</t>
  </si>
  <si>
    <t>4731 (создание группы)
4733 (удаление члена)
1102 (очистка журнала)</t>
  </si>
  <si>
    <t>Антивирус (Defender)</t>
  </si>
  <si>
    <t>Defender: обнаружено вредоносное ПО</t>
  </si>
  <si>
    <t>Microsoft-Windows-Windows Defender/Operational</t>
  </si>
  <si>
    <t>Microsoft Defender обнаружил вредоносное или потенциально нежелательное ПО.</t>
  </si>
  <si>
    <t>Содержит имя угрозы (Threat Name), путь к файлу/процессу, идентификатор угрозы, степень серьёзности, пользователя.</t>
  </si>
  <si>
    <t>• Обнаружение hacktool/мимикац (HackTool:Win32/Mimikatz)
• Серии детектов на одном хосте (активная атака)
• Детект в системных папках или от привилегированных процессов
• PUA/хактулы на серверах</t>
  </si>
  <si>
    <t>• Срабатывание на EICAR-тест или pentest-инструменты (санкционированно)
• Детект старых карантинных файлов при сканировании
• PUA-детекты на легальные admin-утилиты</t>
  </si>
  <si>
    <t>T1204, T1059, T1588</t>
  </si>
  <si>
    <t>['Обнаружение при плановом сканировании', 'Реал-тайм детект при загрузке файла', 'Тестирование защиты EICAR']</t>
  </si>
  <si>
    <t>https://learn.microsoft.com/en-us/microsoft-365/security/defender-endpoint/troubleshoot-microsoft-defender-antivirus</t>
  </si>
  <si>
    <t>• Threat Name — имя угрозы
• Path — путь к файлу/процессу
• Severity — серьёзность
• Detection User — контекст пользователя</t>
  </si>
  <si>
    <t>index=wineventlog source=""*Windows Defender/Operational*"" EventCode=1116
| stats count by host, Threat_Name, Path, Severity
| sort -count</t>
  </si>
  <si>
    <t>1117 (действие предпринято)
5001 (защита отключена)
4688 (процесс угрозы)</t>
  </si>
  <si>
    <t>Defender: предпринято действие против угрозы</t>
  </si>
  <si>
    <t>Microsoft Defender выполнил действие (карантин/удаление/блок) против обнаруженной угрозы.</t>
  </si>
  <si>
    <t>Содержит имя угрозы, предпринятое действие (Action), результат, путь к файлу.</t>
  </si>
  <si>
    <t>• Action=Failed (угроза не удалена — требует ручного реагирования)
• Повторные детекты одной угрозы (persistence)
• Allow/бездействие (возможное отключение защиты)</t>
  </si>
  <si>
    <t>• Штатный карантин/удаление обнаруженного файла
• EICAR-тесты
• Обработка PUA на admin-утилитах</t>
  </si>
  <si>
    <t>T1204, T1059</t>
  </si>
  <si>
    <t>['Автоматический карантин угрозы', 'Удаление вредоносного файла']</t>
  </si>
  <si>
    <t>• Threat Name — имя угрозы
• Action — предпринятое действие
• Action Result — результат
• Path — путь</t>
  </si>
  <si>
    <t>index=wineventlog source=""*Windows Defender/Operational*"" EventCode=1117
  Action_Result!=""Succeeded""
| table _time, host, Threat_Name, Action, Action_Result, Path</t>
  </si>
  <si>
    <t>1116 (обнаружение)
5007 (изменение конфига)
4688 (процесс угрозы)</t>
  </si>
  <si>
    <t>Defender: защита в реальном времени отключена</t>
  </si>
  <si>
    <t>Защита Microsoft Defender в реальном времени была отключена.</t>
  </si>
  <si>
    <t>Регистрируется при отключении real-time protection. Ключевое событие Defense Evasion — атакующие часто отключают AV перед запуском payload.</t>
  </si>
  <si>
    <t>• Отключение защиты перед запуском вредоносного ПО
• Отключение через Set-MpPreference -DisableRealtimeMonitoring
• Отключение в нерабочее время
• Нет последующего включения (5000)</t>
  </si>
  <si>
    <t>• Установка стороннего антивируса (Defender автоотключается)
• Плановое обслуживание админом
• Отладка/установка ПО (временно) — всё равно требует проверки</t>
  </si>
  <si>
    <t>['Установка стороннего AV', 'Плановое обслуживание', 'Устранение конфликтов ПО']</t>
  </si>
  <si>
    <t>• Old Value / New Value — состояние защиты
• Feature — какая функция отключена</t>
  </si>
  <si>
    <t>index=wineventlog source=""*Windows Defender/Operational*"" EventCode IN (5001,5007,5010,5012)
| table _time, host, EventCode, Old_Value, New_Value</t>
  </si>
  <si>
    <t>5007 (изменение конфига)
1116/1117 (детекты после отключения)
4688 (powershell Set-MpPreference)
4657 (реестр DisableAntiSpyware)</t>
  </si>
  <si>
    <t>Defender: конфигурация изменена</t>
  </si>
  <si>
    <t>Конфигурация Microsoft Defender была изменена (через реестр или PowerShell).</t>
  </si>
  <si>
    <t>Содержит имя изменённого параметра (Value), старое и новое значение. Ключевое для детекта добавления exclusion-путей.</t>
  </si>
  <si>
    <t>• Добавление exclusion-путей/процессов (Add-MpPreference -ExclusionPath)
• Отключение отдельных функций (самплинг, cloud protection)
• Изменение в нерабочее время
• Exclusion на подозрительные папки (Temp, пользовательские)</t>
  </si>
  <si>
    <t>• Штатная настройка exclusions админом (базы 1С, SQL, EDR)
• Применение GPO/Intune-политик Defender
• Установка ПО, настраивающего exclusions</t>
  </si>
  <si>
    <t>['Настройка exclusions для легитимных приложений', 'Применение корпоративной политики AV']</t>
  </si>
  <si>
    <t>• Value Name — изменённый параметр
• Old/New Value
• ExclusionPath / ExclusionProcess</t>
  </si>
  <si>
    <t>index=wineventlog source=""*Windows Defender/Operational*"" EventCode=5007
  New_Value=""*Exclusions*""
| table _time, host, Old_Value, New_Value</t>
  </si>
  <si>
    <t>5001 (защита отключена)
4657 (реестр Defender)
4688 (powershell Add-MpPreference)
4104 (скрипт с Set-MpPreference)</t>
  </si>
  <si>
    <t>Службы (System)</t>
  </si>
  <si>
    <t>Служба аварийно завершилась</t>
  </si>
  <si>
    <t>Служба неожиданно завершила работу (crash).</t>
  </si>
  <si>
    <t>Содержит имя службы и количество аварийных завершений. Атакующие могут крашить службы безопасности (EDR, Sysmon, AV).</t>
  </si>
  <si>
    <t>• Аварийное завершение служб безопасности (Sysmon, Defender, EDR-агент)
• Повторные краши одной службы (возможная эксплуатация)
• Краш перед вредоносной активностью</t>
  </si>
  <si>
    <t>• Штатные сбои служб из-за багов/нехватки ресурсов
• Проблемы после обновлений
• Конфликты ПО — частое FP, но краши защитных служб проверять</t>
  </si>
  <si>
    <t>T1562.001, T1489</t>
  </si>
  <si>
    <t>['Сбой службы из-за ошибки ПО', 'Нехватка ресурсов', 'Проблемы после обновления']</t>
  </si>
  <si>
    <t>https://learn.microsoft.com/en-us/windows-server/administration/windows-commands/sc-config</t>
  </si>
  <si>
    <t>• Service Name — имя службы
• Crash Count — число аварий</t>
  </si>
  <si>
    <t>index=wineventlog sourcetype=""WinEventLog:System"" EventCode=7034
  Service_Name IN (""Sense"",""WinDefend"",""Sysmon*"",""MsSecFlt"")
| stats count by host, Service_Name</t>
  </si>
  <si>
    <t>7036 (изменение состояния)
7040 (изменение типа запуска)
4 (Sysmon service state)</t>
  </si>
  <si>
    <t>Изменение состояния службы (запуск/остановка)</t>
  </si>
  <si>
    <t>Служба перешла в состояние «работает» или «остановлена».</t>
  </si>
  <si>
    <t>Содержит имя службы и новое состояние (running/stopped). Очень шумное — важно фильтровать по защитным службам.</t>
  </si>
  <si>
    <t>• Остановка служб безопасности (WinDefend, Sense, Sysmon, EventLog)
• Остановка в нерабочее время
• Остановка перед вредоносной активностью</t>
  </si>
  <si>
    <t>• Обычный жизненный цикл сотен служб при загрузке/работе
• Обновления, перезапуски ПО
• Крайне шумное — без фильтра по службам бесполезно</t>
  </si>
  <si>
    <t>['Штатный запуск/остановка служб', 'Перезагрузка системы', 'Обновления ПО']</t>
  </si>
  <si>
    <t>• Service Name — имя службы
• State — новое состояние</t>
  </si>
  <si>
    <t>index=wineventlog sourcetype=""WinEventLog:System"" EventCode=7036
  Service_Name IN (""Windows Defender*"",""Sysmon*"",""Windows Event Log"")
  State=""stopped""
| table _time, host, Service_Name, State</t>
  </si>
  <si>
    <t>7034 (аварийное завершение)
7040 (изменение типа запуска)
1100 (остановка журналирования)</t>
  </si>
  <si>
    <t>Изменён тип запуска службы</t>
  </si>
  <si>
    <t>Тип запуска службы был изменён (например, auto → disabled).</t>
  </si>
  <si>
    <t>Содержит имя службы, старый и новый тип запуска. Ключевое для детекта отключения защитных служб.</t>
  </si>
  <si>
    <t>• Изменение защитной службы на disabled (WinDefend, Sense, Sysmon)
• sc config … start=disabled через атаку
• Изменение в нерабочее время</t>
  </si>
  <si>
    <t>• Штатное изменение типа запуска при установке/обновлении ПО
• Оптимизация служб админом
• GPO-настройки — критично только для защитных служб</t>
  </si>
  <si>
    <t>T1562.001, T1543.003</t>
  </si>
  <si>
    <t>['Изменение типа запуска при установке ПО', 'Оптимизация служб админом']</t>
  </si>
  <si>
    <t>• Service Name — имя службы
• Start Type (old/new) — тип запуска</t>
  </si>
  <si>
    <t>index=wineventlog sourcetype=""WinEventLog:System"" EventCode=7040
  Service_Name IN (""Windows Defender*"",""Sense"",""Sysmon*"")
| table _time, host, Service_Name, Start_Type</t>
  </si>
  <si>
    <t>7036 (изменение состояния)
7034 (аварийное завершение)
4657 (реестр Start службы)</t>
  </si>
  <si>
    <t>Служба журналирования была остановлена</t>
  </si>
  <si>
    <t>Служба журнала событий Windows была остановлена (во время завершения работы системы).</t>
  </si>
  <si>
    <t>Регистрируется при штатном выключении. Вне перезагрузки — индикатор анти-форензики (атакующий глушит логи).</t>
  </si>
  <si>
    <t>• Остановка журналирования без последующей перезагрузки (нет 4608)
• Остановка в нерабочее время
• Сопровождается 1102 (очистка)
• Несколько 1100 подряд</t>
  </si>
  <si>
    <t>• Штатное выключение/перезагрузка ПК (парное с 4609)
• Плановые патчи
• Коррелировать с 4609/4608 — если есть пара, то FP</t>
  </si>
  <si>
    <t>T1070.001, T1562.002</t>
  </si>
  <si>
    <t>['Штатное завершение работы системы', 'Перезагрузка при обновлении']</t>
  </si>
  <si>
    <t>https://learn.microsoft.com/en-us/windows/security/threat-protection/auditing/event-1100</t>
  </si>
  <si>
    <t>• _time — время остановки
• host — хост</t>
  </si>
  <si>
    <t>index=wineventlog EventCode=1100
| join type=outer host [search EventCode=4608]
| where isnull(EventCode_4608)
| table _time, host</t>
  </si>
  <si>
    <t>1102 (очистка журнала)
4609 (завершение работы)
7036 (EventLog service stopped)</t>
  </si>
  <si>
    <t>Управление учётными записями</t>
  </si>
  <si>
    <t>Имя учётной записи было изменено (переименование)</t>
  </si>
  <si>
    <t>Было изменено (переименовано) имя учётной записи.</t>
  </si>
  <si>
    <t>Содержит старое и новое имя учётки, SID, кто выполнил. Атакующие переименовывают backdoor-учётки под легитимные.</t>
  </si>
  <si>
    <t>• Переименование в имя, похожее на системное (svc_*, admin, backup)
• Переименование привилегированных учёток
• Изменение в нерабочее время
• Переименование вскоре после 4720 (создания)</t>
  </si>
  <si>
    <t>• Штатное переименование при смене фамилии сотрудника
• Приведение к наменологии через IDM
• Редкое событие — любое требует внимания</t>
  </si>
  <si>
    <t>T1098, T1036</t>
  </si>
  <si>
    <t>['Смена фамилии сотрудника', 'Приведение к наменологии IDM']</t>
  </si>
  <si>
    <t>https://learn.microsoft.com/en-us/windows/security/threat-protection/auditing/event-4781</t>
  </si>
  <si>
    <t>• Old Account Name — старое имя
• New Account Name — новое имя
• Subject — кто изменил</t>
  </si>
  <si>
    <t>index=wineventlog EventCode=4781
| table _time, host, Subject_User_Name, Old_Account_Name, New_Account_Name</t>
  </si>
  <si>
    <t>4720 (создание учётки)
4738 (изменение учётки)
4724 (сброс пароля)</t>
  </si>
  <si>
    <t>Тип группы был изменён</t>
  </si>
  <si>
    <t>Группа была преобразована (например, distribution → security).</t>
  </si>
  <si>
    <t>Преобразование distribution-группы в security даёт ей права доступа — способ обойти мониторинг security-групп.</t>
  </si>
  <si>
    <t>• distribution → security для привилегированной группы
• Изменение в нерабочее время
• Сопровождается добавлением членов (4728/4732)</t>
  </si>
  <si>
    <t>• Реорганизация групп администратором
• Настройка рассылок и доступа
• Редкое — проверять для важных групп</t>
  </si>
  <si>
    <t>['Реорганизация групп', 'Настройка доступа']</t>
  </si>
  <si>
    <t>https://learn.microsoft.com/en-us/windows/security/threat-protection/auditing/event-4764</t>
  </si>
  <si>
    <t>• Group Name — имя группы
• Subject — кто изменил</t>
  </si>
  <si>
    <t>index=wineventlog EventCode=4764
| table _time, host, Subject_User_Name, Group_Name</t>
  </si>
  <si>
    <t>4728/4732 (добавление в группу)
4735 (изменение лок. группы)</t>
  </si>
  <si>
    <t>Изменение политики</t>
  </si>
  <si>
    <t>Изменена доменная политика</t>
  </si>
  <si>
    <t>Была изменена политика домена (Domain Policy).</t>
  </si>
  <si>
    <t>Изменение password policy, lockout policy, Kerberos-настроек домена. Атакующие ослабляют политики для закрепления.</t>
  </si>
  <si>
    <t>• Ослабление password/lockout policy
• Изменение макс. срока жизни билета Kerberos
• Изменение в нерабочее время
• Изменение не через штатные GPO-процессы</t>
  </si>
  <si>
    <t>• Штатное изменение политик администратором
• Настройка безопасности при внедрении
• Редкое — любое изменение проверять</t>
  </si>
  <si>
    <t>T1484.001, T1078.002</t>
  </si>
  <si>
    <t>['Штатное изменение политик админом', 'Настройка безопасности']</t>
  </si>
  <si>
    <t>https://learn.microsoft.com/en-us/windows/security/threat-protection/auditing/event-4739</t>
  </si>
  <si>
    <t>• Domain Policy Changed — что изменено
• Subject — кто изменил</t>
  </si>
  <si>
    <t>index=wineventlog EventCode=4739
| table _time, host, Subject_User_Name, Domain_Policy_Changed</t>
  </si>
  <si>
    <t>4713 (политика Kerberos)
4719 (политика аудита)
4704 (назначение прав)</t>
  </si>
  <si>
    <t>Изменена политика Kerberos</t>
  </si>
  <si>
    <t>Была изменена политика Kerberos в домене.</t>
  </si>
  <si>
    <t>Изменение макс. срока жизни TGT/TGS, параметров шифрования. Продлённый срок жизни — подготовка Golden Ticket.</t>
  </si>
  <si>
    <t>• Увеличение макс. срока жизни билета (Golden Ticket)
• Ослабление требований к шифрованию (разрешение RC4)
• Изменение в нерабочее время</t>
  </si>
  <si>
    <t>• Штатная настройка Kerberos-политики админом
• Миграция/ужесточение безопасности
• Очень редкое — любое изменение проверять</t>
  </si>
  <si>
    <t>T1484.001, T1558.001</t>
  </si>
  <si>
    <t>['Штатная настройка Kerberos админом', 'Ужесточение безопасности']</t>
  </si>
  <si>
    <t>https://learn.microsoft.com/en-us/windows/security/threat-protection/auditing/event-4713</t>
  </si>
  <si>
    <t>• Kerberos Policy Changed — что изменено
• Subject — кто изменил</t>
  </si>
  <si>
    <t>index=wineventlog EventCode=4713
| table _time, host, Subject_User_Name</t>
  </si>
  <si>
    <t>4739 (доменная политика)
4769 (запрос TGS)
4768 (запрос TGT)</t>
  </si>
  <si>
    <t>Создано новое доверие к домену (trust)</t>
  </si>
  <si>
    <t>Было создано доверительное отношение к другому домену.</t>
  </si>
  <si>
    <t>Содержит имя домена, направление и тип траста. Атакующие создают trust для cross-domain эскалации (SID History).</t>
  </si>
  <si>
    <t>• Создание trust к неизвестному/внешнему домену
• Настройка SID History через trust
• Создание trust в нерабочее время</t>
  </si>
  <si>
    <t>• Штатная связь лесов/доменов при слиянии/M&amp;A
• Развёртывание новой инфраструктуры
• Крайне редкое — любое требует проверки</t>
  </si>
  <si>
    <t>T1484.002, T1199</t>
  </si>
  <si>
    <t>['Слияние/M&amp;A', 'Развёртывание новой инфраструктуры']</t>
  </si>
  <si>
    <t>https://learn.microsoft.com/en-us/windows/security/threat-protection/auditing/event-4706</t>
  </si>
  <si>
    <t>• Domain Name — имя домена
• Direction / Type — направление и тип
• Subject — кто создал</t>
  </si>
  <si>
    <t>index=wineventlog EventCode=4706
| table _time, host, Subject_User_Name, Domain_Name, Trust_Direction, Trust_Type</t>
  </si>
  <si>
    <t>4707 (удаление trust)
4716 (изменение trust)
4662 (DCSync через trust)</t>
  </si>
  <si>
    <t>Удалено доверие к домену (trust)</t>
  </si>
  <si>
    <t>Доверительное отношение к домену было удалено.</t>
  </si>
  <si>
    <t>Удаление trust может нарушить аутентификацию или скрыть следы cross-domain атаки.</t>
  </si>
  <si>
    <t>• Удаление trust после cross-domain атаки (анти-форензика)
• Несанкционированное удаление
• Удаление в нерабочее время</t>
  </si>
  <si>
    <t>• Штатная реорганизация инфраструктуры
• Вывод из эксплуатации старых доменов
• Крайне редкое — проверять</t>
  </si>
  <si>
    <t>T1484.002, T1070</t>
  </si>
  <si>
    <t>['Реорганизация инфраструктуры', 'Вывод старых доменов']</t>
  </si>
  <si>
    <t>https://learn.microsoft.com/en-us/windows/security/threat-protection/auditing/event-4707</t>
  </si>
  <si>
    <t>• Domain Name — имя домена
• Subject — кто удалил</t>
  </si>
  <si>
    <t>index=wineventlog EventCode=4707
| table _time, host, Subject_User_Name, Domain_Name</t>
  </si>
  <si>
    <t>4706 (создание trust)
4716 (изменение trust)</t>
  </si>
  <si>
    <t>Обнаружена replay-атака</t>
  </si>
  <si>
    <t>Система обнаружила повторное использование аутентификационного пакета (replay).</t>
  </si>
  <si>
    <t>Прямой индикатор атаки на Kerberos: Pass-the-Ticket, Golden/Silver Ticket, повторная отправка билета. Почти никогда не FP.</t>
  </si>
  <si>
    <t>• Pass-the-Ticket и Golden/Silver Ticket атаки
• Повторная отправка перехваченного билета
• Любое появление — красный флаг</t>
  </si>
  <si>
    <t>• Практически отсутствуют — почти всегда истинный позитив
• Редко — сбои сетевого оборудования (дублирование пакетов)
• Обязательно расследовать</t>
  </si>
  <si>
    <t>T1550.003, T1558.001, T1558.002</t>
  </si>
  <si>
    <t>['Редко — сбои сети с дублированием пакетов']</t>
  </si>
  <si>
    <t>https://learn.microsoft.com/en-us/windows/security/threat-protection/auditing/event-4649</t>
  </si>
  <si>
    <t>• Account — учётная запись
• Целевой сервер
• _time — время</t>
  </si>
  <si>
    <t>index=wineventlog EventCode=4649
| table _time, host, Account_Name, Target_Server</t>
  </si>
  <si>
    <t>4769 (запрос TGS)
4768 (запрос TGT)
4624 LT=3 (сетевой вход)</t>
  </si>
  <si>
    <t>Содержит информацию об операции, объекте, атрибутах и субъекте  Это событие будет зарегистрировано только в том случае, если в политике аудита объекта включено аудирование для соответствующих свойств или действий, и это касается пользователя, выполнившего действие, или группы, к которой пользователь принадлежит.</t>
  </si>
  <si>
    <t>Содержит информацию о субъекте запроса и клиентском IP   Windows регистрирует это событие, когда процесс выполняет перечисление членов указанной локальной группы на этом компьютере.</t>
  </si>
  <si>
    <t>21 соб.</t>
  </si>
  <si>
    <t>DFIR, AD-безопасность</t>
  </si>
  <si>
    <t>Детекты</t>
  </si>
  <si>
    <t>Defender обнаружил вредоносное ПО</t>
  </si>
  <si>
    <t>Антивирус обнаружил угрозу (malware/PUA). Основное событие-детект.</t>
  </si>
  <si>
    <t>Содержит: имя угрозы (Threat Name), путь к файлу/процессу, пользователя, источник обнаружения (Real-Time/Scan), версию сигнатур.</t>
  </si>
  <si>
    <t>• Threat Name = HackTool/Mimikatz, Rubeus, Cobalt Strike
• Путь в \Temp\, \AppData\, \Downloads\
• Серия детектов на одном хосте
• Детект + неудачное удаление (см. 1117/1118)</t>
  </si>
  <si>
    <t>• Срабатывание на pentest-инструменты в тест-среде
• EICAR-тестовый файл
• PUA/рекламное ПО (низкий приоритет)
• Известные admin-утилиты (PsExec) — проверять контекст</t>
  </si>
  <si>
    <t>T1059, T1204, T1105</t>
  </si>
  <si>
    <t>• Обнаружение реальной угрозы
• Срабатывание на хак-утилиты
• Загрузка заражённого вложения</t>
  </si>
  <si>
    <t>• Threat Name / ID
• Path — путь
• Process Name
• Detection Source
• Severity</t>
  </si>
  <si>
    <t>https://learn.microsoft.com/en-us/defender-endpoint/troubleshoot-microsoft-defender-antivirus</t>
  </si>
  <si>
    <t>index=wineventlog source="WinEventLog:Microsoft-Windows-Windows Defender/Operational" EventCode=1116
| table _time, host, Threat_Name, Path, Process_Name, Detection_Source, User</t>
  </si>
  <si>
    <t>1117 (действие принято)
1118/1119 (удаление)
4688 (процесс-источник)
Sysmon 1/11</t>
  </si>
  <si>
    <t>Defender применил действие к угрозе</t>
  </si>
  <si>
    <t>Антивирус выполнил действие по нейтрализации угрозы (quarantine/remove/block).</t>
  </si>
  <si>
    <t>Содержит результат действия (Action), имя угрозы, путь. Парное к 1116.</t>
  </si>
  <si>
    <t>• Action Failed — угроза не удалена (критично!)
• Повторное появление той же угрозы (persistence)
• Угроза вернулась после удаления</t>
  </si>
  <si>
    <t>• Успешное удаление/карантин — штатная реакция
• Очистка EICAR/тестовых файлов
• PUA автоблок</t>
  </si>
  <si>
    <t>T1059, T1562.001</t>
  </si>
  <si>
    <t>• Автоматический карантин угрозы
• Блокировка доступа к файлу
• Неудачное удаление (требует эскалации)</t>
  </si>
  <si>
    <t>• Action — действие
• Action Result
• Threat Name
• Path</t>
  </si>
  <si>
    <t>index=wineventlog source="WinEventLog:Microsoft-Windows-Windows Defender/Operational" EventCode=1117
| table _time, host, Threat_Name, Action, Action_Result, Path</t>
  </si>
  <si>
    <t>1116 (детект)
1118/1119 (удаление success/fail)
5001 (RTP disabled)</t>
  </si>
  <si>
    <t>Defender: попытка удаления угрозы</t>
  </si>
  <si>
    <t>Антивирус начал удаление вредоносного ПО.</t>
  </si>
  <si>
    <t>Фиксирует начало операции удаления. Парное к 1119 (результат).</t>
  </si>
  <si>
    <t>• Множественные 1118 без 1119 success
• Цикл удаление-возврат (persistence)</t>
  </si>
  <si>
    <t>• Штатная очистка обнаруженной угрозы
• Удаление тестовых файлов</t>
  </si>
  <si>
    <t>• Штатное удаление угрозы
• Авторемедиация</t>
  </si>
  <si>
    <t>• Threat Name
• Path
• Action</t>
  </si>
  <si>
    <t>index=wineventlog source="WinEventLog:Microsoft-Windows-Windows Defender/Operational" EventCode=1118
| table _time, host, Threat_Name, Path</t>
  </si>
  <si>
    <t>1119 (результат удаления)
1116/1117</t>
  </si>
  <si>
    <t>Defender: неудачное удаление угрозы</t>
  </si>
  <si>
    <t>Антивирус НЕ смог удалить/нейтрализовать угрозу.</t>
  </si>
  <si>
    <t>Критично: угроза осталась активной. Требует ручного реагирования.</t>
  </si>
  <si>
    <t>• Любое 1119 — флаг для IR
• Угроза заблокировала своё удаление
• Активное заражение (rootkit/ransomware)</t>
  </si>
  <si>
    <t>• Почти нет — почти всегда требует внимания
• Файл занят другим процессом (редко)</t>
  </si>
  <si>
    <t>T1562.001, T1070</t>
  </si>
  <si>
    <t>• Активное заражение
• Угроза с самозащитой
• Недостаток прав у AV</t>
  </si>
  <si>
    <t>• Threat Name
• Error Code
• Path</t>
  </si>
  <si>
    <t>index=wineventlog source="WinEventLog:Microsoft-Windows-Windows Defender/Operational" EventCode=1119
| table _time, host, Threat_Name, Error_Code, Path</t>
  </si>
  <si>
    <t>1118 (попытка удаления)
1116 (детект)
1117 (action)</t>
  </si>
  <si>
    <t>Tampering</t>
  </si>
  <si>
    <t>Реал-тайм защита отключена</t>
  </si>
  <si>
    <t>Real-Time Protection (RTP) была отключена.</t>
  </si>
  <si>
    <t>Классический шаг атаки перед запуском payload — отключение защиты.</t>
  </si>
  <si>
    <t>• Отключение RTP вне окна обслуживания
• Отключение через PowerShell (Set-MpPreference -DisableRealtimeMonitoring)
• Отключение + запуск процесса из Temp</t>
  </si>
  <si>
    <t>• Установка стороннего AV (Defender уходит в passive)
• Плановое обслуживание админом
• Отладка разработчиками (редко)</t>
  </si>
  <si>
    <t>• Установка другого AV
• Админ-обслуживание
• Атака (defense evasion)</t>
  </si>
  <si>
    <t>• Feature Name
• Old/New State
• User / Process</t>
  </si>
  <si>
    <t>index=wineventlog source="WinEventLog:Microsoft-Windows-Windows Defender/Operational" EventCode=5001
| table _time, host, User, Process_Name</t>
  </si>
  <si>
    <t>5007 (изменение конфига)
5010/5012 (scan/RTP off)
4688 (powershell)
4104 (Set-MpPreference)</t>
  </si>
  <si>
    <t>Изменение конфигурации Defender</t>
  </si>
  <si>
    <t>Изменён параметр конфигурации/реестра Defender.</t>
  </si>
  <si>
    <t>Показывает старое и новое значение реестрового ключа. Ключ для детекта tampering.</t>
  </si>
  <si>
    <t>• Добавление исключений (Exclusions) — популярный трюк
• Отключение cloud-защиты/sample submission
• Изменение через reg.exe/PowerShell</t>
  </si>
  <si>
    <t>• Применение GPO/Intune-политик
• Настройка исключений админом (легитимно)
• Обновление продукта</t>
  </si>
  <si>
    <t>T1562.001, T1112</t>
  </si>
  <si>
    <t>• Админ-настройка исключений
• Применение политик
• Атака (добавление exclusion под payload)</t>
  </si>
  <si>
    <t>• Value Name
• Old/New Value
• Process / User</t>
  </si>
  <si>
    <t>index=wineventlog source="WinEventLog:Microsoft-Windows-Windows Defender/Operational" EventCode=5007
  (New_Value="*Exclusions*" OR New_Value="*DisableRealtimeMonitoring*")
| table _time, host, Old_Value, New_Value, Process_Name</t>
  </si>
  <si>
    <t>5001 (RTP off)
4657 (registry change)
4104 (Set-MpPreference)
Sysmon 13 (registry)</t>
  </si>
  <si>
    <t>Сканирование от вредоносного ПО отключено</t>
  </si>
  <si>
    <t>Антивирусное сканирование было отключено.</t>
  </si>
  <si>
    <t>Часть семейства tampering-событий (парное к 5012).</t>
  </si>
  <si>
    <t>• Отключение сканирования вне окна обслуживания
• Корреляция с 5001/5012</t>
  </si>
  <si>
    <t>• Админ-отключение для производительности
• Переход на сторонний AV</t>
  </si>
  <si>
    <t>• Админ-обслуживание
• Атака (defense evasion)</t>
  </si>
  <si>
    <t>• Feature
• State
• User</t>
  </si>
  <si>
    <t>index=wineventlog source="WinEventLog:Microsoft-Windows-Windows Defender/Operational" EventCode=5010
| table _time, host, User, Process_Name</t>
  </si>
  <si>
    <t>5012 (RTP scanning off)
5001 (RTP off)
5007 (config)</t>
  </si>
  <si>
    <t>Defender: обнаружена вредоносная активность (движок)</t>
  </si>
  <si>
    <t>Антивирусный движок обнаружил малварь (раннее событие детекта).</t>
  </si>
  <si>
    <t>Часто предшествует 1116/1117. Содержит имя угрозы и путь.</t>
  </si>
  <si>
    <t>• Threat Name хак-инструментов
• Путь во временных папках
• Серия детектов</t>
  </si>
  <si>
    <t>• EICAR/тесты
• PUA
• Известные admin-утилиты</t>
  </si>
  <si>
    <t>T1059, T1204</t>
  </si>
  <si>
    <t>• Обнаружение угрозы
• Срабатывание на PUA</t>
  </si>
  <si>
    <t>• Threat Name
• Path
• Severity</t>
  </si>
  <si>
    <t>index=wineventlog source="WinEventLog:Microsoft-Windows-Windows Defender/Operational" EventCode=1006
| table _time, host, Threat_Name, Path, Severity</t>
  </si>
  <si>
    <t>1116/1117 (детект+action)
1015 (подозрительное поведение)</t>
  </si>
  <si>
    <t>Сканирование защиты от вирусов отключено</t>
  </si>
  <si>
    <t>Антивирусное сканирование (RTP scanning) было отключено. Парное к 5010.</t>
  </si>
  <si>
    <t>Часть семейства tampering-событий. Показывает отключение проверки в реальном времени на уровне сканера.</t>
  </si>
  <si>
    <t>• Отключение вне окна обслуживания
• Set-MpPreference -DisableScanningNetworkFiles / -DisableRealtimeMonitoring
• Отключение + запуск payload из Temp
• Серия 5001/5010/5012 подряд</t>
  </si>
  <si>
    <t>• Установка стороннего AV (Defender → passive)
• Плановое обслуживание админом
• Отладка ПО разработчиком</t>
  </si>
  <si>
    <t>• Админ-обслуживание
• Переход на сторонний AV
• Атака (defense evasion перед payload)</t>
  </si>
  <si>
    <t>index=wineventlog source="WinEventLog:Microsoft-Windows-Windows Defender/Operational" EventCode=5012
| table _time, host, User, Process_Name</t>
  </si>
  <si>
    <t>5010 (scan off)
5001 (RTP off)
5007 (config)
4104 (Set-MpPreference)</t>
  </si>
  <si>
    <t>Defender: обнаружено подозрительное поведение</t>
  </si>
  <si>
    <t>Поведенческий мониторинг (Behavior Monitoring) обнаружил подозрительную активность.</t>
  </si>
  <si>
    <t>Содержит имя поведенческой сигнатуры, путь, процесс. Часто предшествует/сопровождает 1116/1117.</t>
  </si>
  <si>
    <t>• Behavior:Win32/* сигнатуры
• Запуск из \Temp\, \AppData\
• LOLBin-активность (rundll32, regsvr32, mshta)
• Корреляция с 4688/Sysmon 1</t>
  </si>
  <si>
    <t>• Срабатывание на admin-скрипты
• Легитимный софт с агрессивным поведением
• Тестовые/pentest утилиты</t>
  </si>
  <si>
    <t>T1059, T1055, T1218</t>
  </si>
  <si>
    <t>• Раннее обнаружение поведения малвари
• Fileless-атака
• Ложное срабатывание на admin-инструмент</t>
  </si>
  <si>
    <t>• Threat/Behavior Name
• Path
• Process Name
• Severity</t>
  </si>
  <si>
    <t>index=wineventlog source="WinEventLog:Microsoft-Windows-Windows Defender/Operational" EventCode=1015
| table _time, host, Threat_Name, Path, Process_Name, Severity</t>
  </si>
  <si>
    <t>1116/1117 (детект+action)
1006 (движок)
4688 / Sysmon 1 (процесс)</t>
  </si>
  <si>
    <t>Реагирование</t>
  </si>
  <si>
    <t>Defender: объект восстановлен из карантина</t>
  </si>
  <si>
    <t>Элемент был восстановлен из карантина обратно в систему.</t>
  </si>
  <si>
    <t>Содержит имя угрозы и путь восстановления. Критично, если восстановление инициировано не админом.</t>
  </si>
  <si>
    <t>• Восстановление вредоносного файла из карантина
• Восстановление вне рабочего времени
• Восстановление не-админом
• Повторный запуск ранее заблокированной угрозы</t>
  </si>
  <si>
    <t>• Админ восстановил ложно-позитивный файл
• Восстановление нужной утилиты (PsExec и т.п.)
• Разблокировка после анализа</t>
  </si>
  <si>
    <t>T1562.001, T1140</t>
  </si>
  <si>
    <t>• Легитимная разблокировка FP админом
• Атака: восстановление payload из карантина</t>
  </si>
  <si>
    <t>• Threat Name
• Path
• User</t>
  </si>
  <si>
    <t>index=wineventlog source="WinEventLog:Microsoft-Windows-Windows Defender/Operational" EventCode=1009
| table _time, host, Threat_Name, Path, User</t>
  </si>
  <si>
    <t>1117 (карантин)
1116 (детект)
4688 (кто восстановил)</t>
  </si>
  <si>
    <t>Здоровье AV</t>
  </si>
  <si>
    <t>Defender: не удалось обновить сигнатуры</t>
  </si>
  <si>
    <t>Не удалось загрузить/применить обновление антивирусных сигнатур.</t>
  </si>
  <si>
    <t>Содержит код ошибки, текущую версию сигнатур. Устаревшие сигнатуры снижают защиту.</t>
  </si>
  <si>
    <t>• Блокировка update-серверов малварью
• Намеренный обрыв обновлений (defense degradation)
• Серия неудач + устаревшие сигнатуры</t>
  </si>
  <si>
    <t>• Проблемы с сетью/прокси
• WSUS/update-сервер недоступен
• Временный сбой Microsoft Update</t>
  </si>
  <si>
    <t>• Сетевой сбой (частое)
• Деградация защиты атакующим</t>
  </si>
  <si>
    <t>• Error Code
• Signature Version
• Update Source</t>
  </si>
  <si>
    <t>index=wineventlog source="WinEventLog:Microsoft-Windows-Windows Defender/Operational" EventCode=2051
| table _time, host, Error_Code, Signature_Version</t>
  </si>
  <si>
    <t>2001 (сбой движка)
5007 (config)
5001 (RTP off)</t>
  </si>
  <si>
    <t>Изменён статус функции защиты Defender</t>
  </si>
  <si>
    <t>Состояние одной из функций защиты (AMSI, IOAV, скрипт-сканирование и т.д.) было изменено.</t>
  </si>
  <si>
    <t>Содержит имя функции и новое состояние (enabled/disabled). Отключение AMSI — классика evasion.</t>
  </si>
  <si>
    <t>• Отключение AMSI / IOAV / Script Scanning
• Отключение cloud-защиты (MAPS)
• Через Set-MpPreference / реестр
• Перед запуском обфусцированных скриптов</t>
  </si>
  <si>
    <t>• Применение GPO/Intune-политик
• Админ-настройка функций
• Обновление продукта</t>
  </si>
  <si>
    <t>T1562.001, T1562.012</t>
  </si>
  <si>
    <t>• Админ-настройка политик
• Атака (отключение AMSI перед PowerShell-payload)</t>
  </si>
  <si>
    <t>index=wineventlog source="WinEventLog:Microsoft-Windows-Windows Defender/Operational" EventCode=5004
| table _time, host, Feature_Name, State, Process_Name, User</t>
  </si>
  <si>
    <t>5001 (RTP off)
5007 (config)
4104 (PowerShell ScriptBlock)
Sysmon 13 (registry)</t>
  </si>
  <si>
    <t>Defender: движок завершился с ошибкой</t>
  </si>
  <si>
    <t>Антивирусный движок (MsMpEng) завершился аварийно или с ошибкой.</t>
  </si>
  <si>
    <t>Содержит код ошибки. Принудительное завершение движка — способ evasion.</t>
  </si>
  <si>
    <t>• Принудительное завершение MsMpEng (kill)
• Сбой после манипуляций с драйверами (BYOVD)
• Серия сбоев без апдейтов
• Корреляция с отключением службы</t>
  </si>
  <si>
    <t>• Реальный сбой ПО / баг
• Проблемы с памятью/ресурсами
• Конфликт со сторонним AV</t>
  </si>
  <si>
    <t>• Реальный сбой (редко)
• Атака: kill AV-процесса / BYOVD</t>
  </si>
  <si>
    <t>• Error Code
• Engine Version
• Process</t>
  </si>
  <si>
    <t>index=wineventlog source="WinEventLog:Microsoft-Windows-Windows Defender/Operational" EventCode=5008
| table _time, host, Error_Code, Engine_Version</t>
  </si>
  <si>
    <t>2001 (сбой обновления)
5001 (RTP off)
7034/7036 (служба)
Sysmon 5 (process term)</t>
  </si>
  <si>
    <t>Антифорензика</t>
  </si>
  <si>
    <t>Defender: история защиты очищена</t>
  </si>
  <si>
    <t>История обнаружений (Protection History) была очищена до указанной даты.</t>
  </si>
  <si>
    <t>Содержит timestamp, до которого удалена история. Признак антифорензики.</t>
  </si>
  <si>
    <t>• Очистка истории после детектов (заметание следов)
• Очистка вне окна обслуживания
• Корреляция с 1102 (очистка Security лога)
• Очистка не-админом</t>
  </si>
  <si>
    <t>• Штатное обслуживание админом
• Очистка по ретеншен-политике
• Переустановка ПО</t>
  </si>
  <si>
    <t>T1070, T1562.001</t>
  </si>
  <si>
    <t>• Штатная очистка по политике
• Атака: заметание следов после компрометации</t>
  </si>
  <si>
    <t>• Cleared Until (timestamp)
• User
• Process</t>
  </si>
  <si>
    <t>index=wineventlog source="WinEventLog:Microsoft-Windows-Windows Defender/Operational" EventCode=1013
| table _time, host, User, Process_Name</t>
  </si>
  <si>
    <t>1102 (очистка Security)
104 (очистка логов)
5001 (RTP off)
Sysmon 23 (file delete)</t>
  </si>
  <si>
    <t>Windows Forensic Artifacts — Cheatsheet</t>
  </si>
  <si>
    <t>Ключевые криминалистические артефакты Windows для SOC, DFIR и Threat Hunting</t>
  </si>
  <si>
    <t>Источник</t>
  </si>
  <si>
    <t>Тип информации</t>
  </si>
  <si>
    <t>Артефакт</t>
  </si>
  <si>
    <t>Расположение</t>
  </si>
  <si>
    <t>Ключевая информация</t>
  </si>
  <si>
    <t>Инструмент анализа</t>
  </si>
  <si>
    <t>Пример применения в расследовании</t>
  </si>
  <si>
    <t>Автозапуск / Persistence</t>
  </si>
  <si>
    <t>Run / RunOnce</t>
  </si>
  <si>
    <t>HKCU\Software\Microsoft\Windows\CurrentVersion\Run
HKLM\SOFTWARE\Microsoft\Windows\CurrentVersion\Run</t>
  </si>
  <si>
    <t>Программы, запускаемые при входе пользователя или старте системы. Классическое место persistence малвари. Проверять: имя, путь, подпись файла.</t>
  </si>
  <si>
    <t>Autoruns (Sysinternals), RegRipper (plugin: run), reg.exe</t>
  </si>
  <si>
    <t>Вредонос прописал себя в Run под именем svchost32.exe → подписи нет, путь %TEMP% → persistence подтверждена.</t>
  </si>
  <si>
    <t>Services (реестр)</t>
  </si>
  <si>
    <t>HKLM\SYSTEM\CurrentControlSet\Services\</t>
  </si>
  <si>
    <t>Все зарегистрированные службы: ImagePath (путь к бинарю), Start (тип запуска: 2=Auto), Type. Малварь и RAT часто регистрируются как сервис.</t>
  </si>
  <si>
    <t>Autoruns, RegRipper (plugin: services), sc.exe, Get-Service</t>
  </si>
  <si>
    <t>Backdoor зарегистрирован как сервис с ImagePath=C:\Windows\Temp\svc.exe, Start=2 → ищем Event 7045 (новый сервис) в System.evtx.</t>
  </si>
  <si>
    <t>Scheduled Tasks (реестр)</t>
  </si>
  <si>
    <t>HKLM\SOFTWARE\Microsoft\Windows NT\CurrentVersion\Schedule\TaskCache\Tasks
HKLM\SOFTWARE\Microsoft\Windows NT\CurrentVersion\Schedule\TaskCache\Tree</t>
  </si>
  <si>
    <t>Зарегистрированные задачи, их триггеры и действия. Дополнять анализом XML-файлов задач в файловой системе.</t>
  </si>
  <si>
    <t>Autoruns, schtasks.exe, RegRipper (plugin: tasks), TaskSchedulerView</t>
  </si>
  <si>
    <t>APT создал задачу с триггером OnLogon, запускающую PowerShell с -EncodedCommand → проверяем Event 4698.</t>
  </si>
  <si>
    <t>Аутентификация / Credentials</t>
  </si>
  <si>
    <t>UserAssist</t>
  </si>
  <si>
    <t>HKCU\Software\Microsoft\Windows\CurrentVersion\Explorer\UserAssist\{GUID}\Count</t>
  </si>
  <si>
    <t>Запущенные программы из GUI: имя (ROT-13), счётчик запусков, время последнего запуска. Доказывает факт интерактивного запуска файла.</t>
  </si>
  <si>
    <t>RegRipper (plugin: userassist), UserAssist (NirSoft), Eric Zimmermann's RECmd</t>
  </si>
  <si>
    <t>Атакующий запустил mimikatz.exe из рабочего стола → UserAssist подтверждает запуск в 14:32 с конкретного пользователя.</t>
  </si>
  <si>
    <t>Выполнение программ</t>
  </si>
  <si>
    <t>ShimCache (AppCompatCache)</t>
  </si>
  <si>
    <t>HKLM\SYSTEM\CurrentControlSet\Control\Session Manager\AppCompatCache</t>
  </si>
  <si>
    <t>История запуска исполняемых файлов: путь, размер, дата модификации (не запуска!). Сохраняется до 1024 записей. Критично: наличие файла ≠ запуск.</t>
  </si>
  <si>
    <t>AppCompatCacheParser (EZ Tools), RegRipper (plugin: appcompatcache), ShimCacheParser</t>
  </si>
  <si>
    <t>Хакерский инструмент net.exe обнаружен в ShimCache по нестандартному пути → подтверждает присутствие на хосте, даже если файл удалён.</t>
  </si>
  <si>
    <t>Amcache.hve</t>
  </si>
  <si>
    <t>C:\Windows\AppCompat\Programs\Amcache.hve</t>
  </si>
  <si>
    <t>SHA1 хэш исполняемых файлов, путь, версия, дата первого запуска. Позволяет идентифицировать файл по хэшу, даже если он удалён. Win8+.</t>
  </si>
  <si>
    <t>AmcacheParser (EZ Tools), RegRipper (plugin: amcache)</t>
  </si>
  <si>
    <t>Вычислили SHA1 из Amcache → VirusTotal подтвердил: это Cobalt Strike beacon. Файл уже удалён с диска.</t>
  </si>
  <si>
    <t>MRU (Most Recently Used)</t>
  </si>
  <si>
    <t>HKCU\Software\Microsoft\Windows\CurrentVersion\Explorer\RecentDocs
HKCU\Software\Microsoft\Office\{ver}\{app}\File MRU</t>
  </si>
  <si>
    <t>Последние открытые документы, файлы, пути. Структурированы по расширению. Содержат Shell Item (имя, путь, дата). Office MRU хранит пути к документам.</t>
  </si>
  <si>
    <t>RegRipper (plugin: recentdocs), MRUView (NirSoft), RECmd</t>
  </si>
  <si>
    <t>Жертва открыла invoice_final.docx с сетевого пути \\evil-share\payload → MRU содержит UNC-путь с timestamp.</t>
  </si>
  <si>
    <t>Сеть / Lateral Movement</t>
  </si>
  <si>
    <t>Network Shares (реестр)</t>
  </si>
  <si>
    <t>HKLM\SYSTEM\CurrentControlSet\Services\LanmanServer\Shares
HKCU\Software\Microsoft\Windows\CurrentVersion\Explorer\MountPoints2</t>
  </si>
  <si>
    <t>Открытые сетевые папки, подключённые сетевые диски (MountPoints2). MountPoints2 хранит историю подключений, включая удалённые.</t>
  </si>
  <si>
    <t>RegRipper (plugin: mountpoints2), net share, Get-SmbShare</t>
  </si>
  <si>
    <t>Атакующий подключался к \\DC01\C$ → запись в MountPoints2 у пользователя analyst → подтверждает lateral movement.</t>
  </si>
  <si>
    <t>Системная информация</t>
  </si>
  <si>
    <t>SAM (Security Account Manager)</t>
  </si>
  <si>
    <t>HKLM\SAM\SAM\Domains\Account\Users (C:\Windows\System32\config\SAM)</t>
  </si>
  <si>
    <t>Локальные учётные записи: имена, RID, флаги (disabled, locked, admin), хэши паролей (NT hash). Хэши доступны только через теневую копию или при SYSTEM-привилегиях.</t>
  </si>
  <si>
    <t>Impacket secretsdump.py, reg.exe (SYSTEM priv), CrackMapExec, mimikatz (lsadump::sam)</t>
  </si>
  <si>
    <t>Злоумышленник создал скрытый аккаунт admin$ → SAM показывает новый RID с датой создания → Event 4720 подтверждает.</t>
  </si>
  <si>
    <t>Выполнение команд</t>
  </si>
  <si>
    <t>TypedURLs / TypedPaths</t>
  </si>
  <si>
    <t>HKCU\Software\Microsoft\Internet Explorer\TypedURLs
HKCU\Software\Microsoft\Windows\CurrentVersion\Explorer\TypedPaths</t>
  </si>
  <si>
    <t>URL, набранные вручную в IE/Edge, и пути, введённые в адресной строке Проводника. Доказывают умысел — пользователь вводил адрес вручную.</t>
  </si>
  <si>
    <t>RegRipper (plugin: typedurls), BrowsingHistoryView (NirSoft)</t>
  </si>
  <si>
    <t>Сотрудник вручную набрал URL фишингового сайта → TypedURLs содержит запись с временем → опровергает версию о случайном переходе.</t>
  </si>
  <si>
    <t>EVTX (события)</t>
  </si>
  <si>
    <t>Security.evtx</t>
  </si>
  <si>
    <t>C:\Windows\System32\winevt\Logs\Security.evtx</t>
  </si>
  <si>
    <t>4624/4625 (вход/отказ), 4688 (процесс), 4698 (задача), 4720/4726 (аккаунт), 1102 (очистка лога), 4768/4769 (Kerberos). Главный источник аудита ИБ.</t>
  </si>
  <si>
    <t>EvtxECmd (EZ Tools), Hayabusa, Chainsaw, DeepBlueCLI, Get-WinEvent (PS)</t>
  </si>
  <si>
    <t>Brute-force: COUNTIF 4625 по SubjectAccount &gt; 50 за 5 мин → алерт. 1102 без 4609 перед ним → лог очищен злоумышленником.</t>
  </si>
  <si>
    <t>PowerShell/Operational.evtx</t>
  </si>
  <si>
    <t>C:\Windows\System32\winevt\Logs\Microsoft-Windows-PowerShell%4Operational.evtx</t>
  </si>
  <si>
    <t>4104 (ScriptBlock — полный текст скрипта), 4103 (Module logging), 4105/4106 (старт/стоп). Лучший источник для анализа PS-атак.</t>
  </si>
  <si>
    <t>EvtxECmd, Hayabusa, PowerShell ScriptBlock поиск в SIEM</t>
  </si>
  <si>
    <t>4104 содержит -EncodedCommand → base64-декодирование → Invoke-Mimikatz внутри. CyberChef раскрывает пайлоад.</t>
  </si>
  <si>
    <t>Sysmon.evtx</t>
  </si>
  <si>
    <t>C:\Windows\System32\winevt\Logs\Microsoft-Windows-Sysmon%4Operational.evtx</t>
  </si>
  <si>
    <t>EID 1 (process), 3 (network), 7 (image load), 8 (CreateRemoteThread), 11 (file create), 13 (registry), 22 (DNS), 25 (process tamper). Глубокий endpoint-аудит.</t>
  </si>
  <si>
    <t>EvtxECmd, Hayabusa, Chainsaw, Splunk / Elastic (Sysmon field mapping)</t>
  </si>
  <si>
    <t>EID 8 (CreateRemoteThread) + соурс cmd.exe, цель lsass.exe → дамп памяти через инъекцию.</t>
  </si>
  <si>
    <t>RDPClient / TerminalServices­RemoteConnectionManager</t>
  </si>
  <si>
    <t>C:\Windows\System32\winevt\Logs\Microsoft-Windows-TerminalServices-RemoteConnectionManager%4Operational.evtx
C:\Windows\System32\winevt\Logs\Microsoft-Windows-TerminalServices-LocalSessionManager%4Operational.evtx</t>
  </si>
  <si>
    <t>1149 (удалённая аутентификация без пароля), 21/25 (сессия RDP: начало/разъединение), 1158 (выход сессии). IP-адреса и пользователь.</t>
  </si>
  <si>
    <t>EvtxECmd, Hayabusa, mstsc архив коннекций (%APPDATA%\Microsoft\Terminal Server Client\Cache)</t>
  </si>
  <si>
    <t>1149 без пароля в 03:00 с внешнего IP → lateral movement RDP с пассом (лог 4624 LT=10 на целевом хосте).</t>
  </si>
  <si>
    <t>Prefetch</t>
  </si>
  <si>
    <t>Prefetch (.pf)</t>
  </si>
  <si>
    <t>C:\Windows\Prefetch\*.pf</t>
  </si>
  <si>
    <t>Имя исполняемого файла, хэш (DWORD), до 8 времён запуска, счётчик запусков, загружаемые DLL. Работает только на Windows (Workstation), на Server отключён.</t>
  </si>
  <si>
    <t>PECmd (EZ Tools), WinPrefetchView (NirSoft)</t>
  </si>
  <si>
    <t>mimikatz.exe-файл удалён, но Prefetch остался → 6 запусков в 04:12–04:18. DLL: загружалась mimilib.dll.</t>
  </si>
  <si>
    <t>Prefetch PsExec</t>
  </si>
  <si>
    <t>C:\Windows\Prefetch\PSEXESVC.EXE-*.pf
C:\Windows\Prefetch\PSEXEC.EXE-*.pf</t>
  </si>
  <si>
    <t>PsExesvc.exe на целевом хосте = PsExec применён. PsExec.exe на источнике → инициатор. Сопоставьте времена.</t>
  </si>
  <si>
    <t>PECmd (EZ Tools), WinPrefetchView</t>
  </si>
  <si>
    <t>PSEXESVC.EXE обнаружен на DC → Event 7045 на том же хосте в тоже минуту → lateral movement подтверждён.</t>
  </si>
  <si>
    <t>LNK / Shell Items</t>
  </si>
  <si>
    <t>Существование файлов</t>
  </si>
  <si>
    <t>LNK-файлы (ярлыки)</t>
  </si>
  <si>
    <t>C:\Users\%USERNAME%\AppData\Roaming\Microsoft\Windows\Recent\*.lnk
C:\Users\%USERNAME%\Desktop\*.lnk</t>
  </si>
  <si>
    <t>Исходный путь файла (MAC+UNC), волюм Serial Number машины-цели, времена создания/открытия, размер, машина-оригин. MAC адрес (legacy).</t>
  </si>
  <si>
    <t>LECmd (EZ Tools), LNKParser (Zimmermann)</t>
  </si>
  <si>
    <t>LNK указывает на \\fileserver\confidential\passwords.xlsx – доказывает открытие документа на другой машине — lateral exfil.</t>
  </si>
  <si>
    <t>Jump Lists</t>
  </si>
  <si>
    <t>C:\Users\%USERNAME%\AppData\Roaming\Microsoft\Windows\Recent\AutomaticDestinations\*.automaticDestinations-ms
C:\Users\%USERNAME%\AppData\Roaming\Microsoft\Windows\Recent\CustomDestinations\*.customDestinations-ms</t>
  </si>
  <si>
    <t>Последние документы/URI по приложениям (AppID). Содержат Shell Items: путь, время доступа, размер, MAC. Очень полезны для доказательства открытия файлов.</t>
  </si>
  <si>
    <t>JLECmd (EZ Tools)</t>
  </si>
  <si>
    <t>Jump List Chrome.exe содержит URL на C2-сайт — дополняет анализ браузерной истории.</t>
  </si>
  <si>
    <t>Shellbags</t>
  </si>
  <si>
    <t>HKCU\Software\Microsoft\Windows\Shell\BagMRU
HKCU\Software\Microsoft\Windows\Shell\Bags
NTUSER.DAT / UsrClass.dat</t>
  </si>
  <si>
    <t>Папки, просмотренные через Explorer: путь, время последнего просмотра (FILETIME). Фиксируют папки USB, сетевых дисков, ZIP-архивов. Даже если папка удалена.</t>
  </si>
  <si>
    <t>ShellBagsExplorer (EZ Tools), Shellbags (RegRipper plugin)</t>
  </si>
  <si>
    <t>Шеллбэги показывают: пользователь просматривал D:\Confidential\HR — папка удалена, но факт доступа зафиксирован.</t>
  </si>
  <si>
    <t>MFT / Файловая система</t>
  </si>
  <si>
    <t>$MFT (Master File Table)</t>
  </si>
  <si>
    <t>\$MFT (корень NTFS-тома)</t>
  </si>
  <si>
    <t>Каждый файл/папка: имя, размер, MACB-времена, атрибуты, ADS. Удалённые файлы остаются в MFT до перезаписи. ADS — скрытые потоки (MOTW, LOLBin-полезная нагрузка).</t>
  </si>
  <si>
    <t>MFTECmd (EZ Tools), Autopsy, KAPE + MFT module, icat (TSK)</t>
  </si>
  <si>
    <t>Атакующий сохранил payload в ADS: calc.exe:hidden.exe — MFT показывает нестандартный размер и время создания.</t>
  </si>
  <si>
    <t>$UsnJrnl:$J (Change Journal)</t>
  </si>
  <si>
    <t>\$Extend\$UsnJrnl</t>
  </si>
  <si>
    <t>Журнал изменений NTFS: создание, удаление, переименование файлов. Фиксирует даже удалённые файлы. USN циклически перезаписывается.</t>
  </si>
  <si>
    <t>MFTECmd (EZ Tools), fsutil usn, Velociraptor artifact Windows.NTFS.UsnJrnl</t>
  </si>
  <si>
    <t>Рансомвар: USN показывает всплеск шифрования файлов с точными временными метками (хронология атаки).</t>
  </si>
  <si>
    <t>Memory</t>
  </si>
  <si>
    <t>Выполнение команд / Credentials</t>
  </si>
  <si>
    <t>RAM dump (LSASS)</t>
  </si>
  <si>
    <t>Извлечение из живого процесса lsass.exe или полного дампа памяти</t>
  </si>
  <si>
    <t>NT-хэши, Kerberos тикеты, пароли в открытом виде (WDIGEST на Win7), сессионные токены. Самый ценный credential-артефакт.</t>
  </si>
  <si>
    <t>Volatility 3 (windows.lsadump, windows.credentials.hashdump), mimikatz (sekurlsa::logonpasswords)</t>
  </si>
  <si>
    <t>Дамп lsass.exe через Task Manager: Sysmon EID 10 зафиксирует OpenProcess на lsass с стороны taskmgr.exe.</t>
  </si>
  <si>
    <t>Выполнение команд / Телеметрия</t>
  </si>
  <si>
    <t>RAM dump (процессы)</t>
  </si>
  <si>
    <t>Full memory dump (файл VMEM/RAW/DMP)
Инструменты: WinPmem, Magnet RAM Capture, DumpIt</t>
  </si>
  <si>
    <t>Список процессов, открытые сокеты, признаки инъекции (hollow/injected), нераспакованный PE в памяти, базовые адреса.</t>
  </si>
  <si>
    <t>Volatility 3 (windows.pslist, windows.netscan, windows.malfind, windows.cmdline), MemProcFS</t>
  </si>
  <si>
    <t>windows.malfind находит RWX-регион в explorer.exe → process injection Cobalt Strike подтверждён.</t>
  </si>
  <si>
    <t>Browser</t>
  </si>
  <si>
    <t>Сеть / Exfiltration</t>
  </si>
  <si>
    <t>Browser History (Chrome/Edge)</t>
  </si>
  <si>
    <t>Chrome: %LOCALAPPDATA%\Google\Chrome\User Data\Default\History
Edge: %LOCALAPPDATA%\Microsoft\Edge\User Data\Default\History</t>
  </si>
  <si>
    <t>SQLite: URL, visit_time (WebKit-время), title, visit_count. Downloads: путь сохранения, URL-источник, время. Файл заблокирован при работе браузера.</t>
  </si>
  <si>
    <t>BrowsingHistoryView (NirSoft), Hindsight, DB Browser for SQLite</t>
  </si>
  <si>
    <t>Пользователь заходил на C2-домен за 10 мин до заражения → History фиксирует visit_time и referrer.</t>
  </si>
  <si>
    <t>Browser Credentials (Chrome/Edge)</t>
  </si>
  <si>
    <t>Chrome: %LOCALAPPDATA%\Google\Chrome\User Data\Default\Login Data
Edge: %LOCALAPPDATA%\Microsoft\Edge\User Data\Default\Login Data</t>
  </si>
  <si>
    <t>SQLite: сохранённые логины/пароли (зашифрованы DPAPI). Извлечение требует дешифрования DPAPI (ключ SYSTEM+пароль пользователя).</t>
  </si>
  <si>
    <t>HackBrowserData, SharpChromium, mimikatz (dpapi::chrome), NirSoft ChromePass</t>
  </si>
  <si>
    <t>Малварь запустил HackBrowserData → Sysmon EID 11: создан Login Data.db в %TEMP% → exfil.</t>
  </si>
  <si>
    <t>Windows Firewall Log</t>
  </si>
  <si>
    <t>C:\Windows\System32\LogFiles\Firewall\pfirewall.log</t>
  </si>
  <si>
    <t>Action (ALLOW/DROP), протокол, IP-адреса, порты, время. Требует включения аудита (Group Policy). Полезен для выявления C2-биков.</t>
  </si>
  <si>
    <t>Notepad++, Log Parser Studio, Splunk / Elastic, Zeek параллельно</t>
  </si>
  <si>
    <t>Egress ALLOW к 185.x.x.x:4444 с интервалом 60 сек → C2 beaconing.</t>
  </si>
  <si>
    <t>DNS Cache</t>
  </si>
  <si>
    <t>ipconfig /displaydns
HKLM\SYSTEM\CurrentControlSet\Services\Dnscache\Parameters\Cache (volatile)</t>
  </si>
  <si>
    <t>Разрешённые DNS-имена с TTL. Волатильный артефакт — снять до перезагрузки. DNS Event Log (Microsoft-Windows-DNS-Client) хранит персистентно.</t>
  </si>
  <si>
    <t>ipconfig /displaydns, Sysmon EID 22 (DNS query), Velociraptor</t>
  </si>
  <si>
    <t>Sysmon EID 22: svchost разрешает c2-update.evil.ru — выдаёт C2 через DNS-туннелирование.</t>
  </si>
  <si>
    <t>Pagefile / Hiberfil</t>
  </si>
  <si>
    <t>pagefile.sys / hiberfil.sys</t>
  </si>
  <si>
    <t>C:\pagefile.sys
C:\hiberfil.sys</t>
  </si>
  <si>
    <t>Фрагменты памяти, остатки строк паролей, URL, shell-команд, кода. hiberfil.sys — полный снимок оперативной памяти при гибернации.</t>
  </si>
  <si>
    <t>Volatility 3 (после преобразования hiberfil), strings + grep, Bulk Extractor</t>
  </si>
  <si>
    <t>strings pagefile.sys | grep -i password → обнаружены остатки NTLM-аутентификации.</t>
  </si>
  <si>
    <t>Recycle Bin</t>
  </si>
  <si>
    <t>$Recycle.Bin / $I-файлы</t>
  </si>
  <si>
    <t>C:\$Recycle.Bin\{SID}\$I??????
C:\$Recycle.Bin\{SID}\$R??????</t>
  </si>
  <si>
    <t>$I-файл: оригинальный путь, дата удаления, размер. $R-файл: содержимое. Привязка к SID пользователя через SAM/реестр.</t>
  </si>
  <si>
    <t>RBCmd (EZ Tools), RecycleBinEx (NirSoft)</t>
  </si>
  <si>
    <t>Атакующий удалил инструмент — $I-файл раскрывает оригинальный путь (C:\Tools\mimikatz.exe) и дату.</t>
  </si>
  <si>
    <t>Volume Shadow Copy</t>
  </si>
  <si>
    <t>VSS (Volume Shadow Copy Service)</t>
  </si>
  <si>
    <t>\\?\GLOBALROOT\Device\HarddiskVolumeShadowCopy{N}\
vssadmin list shadows</t>
  </si>
  <si>
    <t>Исторические снимки файловой системы: SAM, NTDS.dit, реестр. Позволяют достать заблокированные файлы. Рансомвар часто удаляет VSS (vssadmin delete).</t>
  </si>
  <si>
    <t>vssadmin, wmic shadowcopy, ShadowExplorer, Autopsy VSS module</t>
  </si>
  <si>
    <t>Атакующий скопировал NTDS.dit через VSS → извлек всех хэшей AD (Event 4673/7036 открывал VSS-сервис).</t>
  </si>
  <si>
    <t>Scheduled Tasks (файл)</t>
  </si>
  <si>
    <t>Task XML-файлы</t>
  </si>
  <si>
    <t>C:\Windows\System32\Tasks\
C:\Windows\SysWOW64\Tasks\</t>
  </si>
  <si>
    <t>XML: автор, дата регистрации, триггер, действие, RunLevel. Существуют даже после удаления из реестра. Маць MFT.</t>
  </si>
  <si>
    <t>TaskSchedulerView (NirSoft), schtasks, Autoruns, Get-ScheduledTask</t>
  </si>
  <si>
    <t>XML-файл задачи содержит -enc параметр PowerShell → base64-декодирование выявляет C2-пайлоад.</t>
  </si>
  <si>
    <t>WMI Subscriptions</t>
  </si>
  <si>
    <t>C:\Windows\System32\wbem\Repository\*.data
(OBJECTS.DATA — основной файл)</t>
  </si>
  <si>
    <t>Event Consumer, Event Filter, Binding. Скрытый persistence без записей в Run/задачах. Автозапуск при наступлении события (воход, создание процесса).</t>
  </si>
  <si>
    <t>PyWMIPersistenceFinder, Autoruns (WMI вкладка), Get-WMIObject Win32_FilterToConsumerBinding</t>
  </si>
  <si>
    <t>Апт зарегистрировал WMI Consumer с CommandLineEventConsumer, запускающим cmd /c PowerShell при нестандартном входе.</t>
  </si>
  <si>
    <t>USB / Устройства</t>
  </si>
  <si>
    <t>Подключённые устройства</t>
  </si>
  <si>
    <t>USBSTOR / USB (реестр)</t>
  </si>
  <si>
    <t>HKLM\SYSTEM\CurrentControlSet\Enum\USBSTOR
HKLM\SYSTEM\CurrentControlSet\Enum\USB</t>
  </si>
  <si>
    <t>Подключённые USB-накопители: VID/PID, серийный номер устройства, производитель, модель, первое/последнее подключение. Серийник связывает устройство с конкретным железом.</t>
  </si>
  <si>
    <t>USBDeview (NirSoft), RegRipper (plugin: usbstor), USB Detective, RECmd</t>
  </si>
  <si>
    <t>Утечка данных: USBSTOR показывает Kingston-флешку с серийником, подключённую в 18:42 → сопоставляем с LNK/Shellbags на скопированные файлы.</t>
  </si>
  <si>
    <t>MountedDevices / MountPoints2</t>
  </si>
  <si>
    <t>HKLM\SYSTEM\MountedDevices
HKCU\Software\Microsoft\Windows\CurrentVersion\Explorer\MountPoints2</t>
  </si>
  <si>
    <t>Сопоставление буквы диска (E:, F:) с GUID/серийником тома USB-устройства. Привязывает съёмный носитель к букве диска и пользователю, который его монтировал.</t>
  </si>
  <si>
    <t>RegRipper (plugin: mountdev / mountpoints2), USB Detective, RECmd</t>
  </si>
  <si>
    <t>Флешке присвоена буква F: у пользователя analyst → этот же том фигурирует в Shellbags F:\stolen → подтверждает, кто именно копировал.</t>
  </si>
  <si>
    <t>setupapi.dev.log</t>
  </si>
  <si>
    <t>C:\Windows\INF\setupapi.dev.log</t>
  </si>
  <si>
    <t>Текстовый лог установки драйверов устройств с точными временными метками ПЕРВОГО подключения устройства. Дополняет реестровые артефакты человекочитаемой датой.</t>
  </si>
  <si>
    <t>Любой текстовый редактор, grep/Select-String, USB Detective</t>
  </si>
  <si>
    <t>Поиск по серийнику флешки в setupapi.dev.log → первое подключение к хосту зафиксировано 12.03 в 09:15 — раньше предполагаемого инцидента.</t>
  </si>
  <si>
    <t>Execution (расш.)</t>
  </si>
  <si>
    <t>Выполнение программ / Сеть</t>
  </si>
  <si>
    <t>SRUM (System Resource Usage Monitor)</t>
  </si>
  <si>
    <t>C:\Windows\System32\sru\SRUDB.dat
HKLM\SOFTWARE\Microsoft\Windows NT\CurrentVersion\SRUM\Extensions</t>
  </si>
  <si>
    <t>Поприложенческий учёт за ~30-60 дней: объём принятых/отправленных байт по процессам и пользователям (SID), время работы, энергопотребление. Доказывает факт и объём сетевой активности процесса.</t>
  </si>
  <si>
    <t>SrumECmd (EZ Tools), srum-dump (Mark Baggett), Velociraptor</t>
  </si>
  <si>
    <t>Exfiltration: SRUM показывает, что powershell.exe отправил 2 ГБ наружу за 1 час → количественное доказательство утечки данных.</t>
  </si>
  <si>
    <t>BAM / DAM (Background/Desktop Activity Moderator)</t>
  </si>
  <si>
    <t>HKLM\SYSTEM\CurrentControlSet\Services\bam\State\UserSettings\{SID}
HKLM\SYSTEM\CurrentControlSet\Services\dam\State\UserSettings\{SID}</t>
  </si>
  <si>
    <t>Полный путь и время ПОСЛЕДНЕГО запуска исполняемых файлов, привязанных к SID пользователя. В отличие от ShimCache даёт именно время выполнения и привязку к пользователю. Win10+.</t>
  </si>
  <si>
    <t>RegRipper (plugin: bam), BamParser, RECmd, Eric Zimmermann's tools</t>
  </si>
  <si>
    <t>BAM фиксирует C:\Temp\mimikatz.exe с временем запуска 04:12 под SID конкретного юзера → привязывает выполнение к аккаунту.</t>
  </si>
  <si>
    <t>System.evtx</t>
  </si>
  <si>
    <t>C:\Windows\System32\winevt\Logs\System.evtx</t>
  </si>
  <si>
    <t>7045 (новый сервис), 7034/7036 (сбой/смена состояния сервиса), 7040 (изменён тип запуска), 104 (очистка лога), 6005/6006 (старт/остановка Event Log), 1074 (выкл/ребут).</t>
  </si>
  <si>
    <t>EvtxECmd (EZ Tools), Hayabusa, Chainsaw, DeepBlueCLI, Get-WinEvent</t>
  </si>
  <si>
    <t>Event 7045 с ImagePath=C:\Windows\Temp\svc.exe → новый сервис-backdoor; корреляция с реестровым Services и PsExec.</t>
  </si>
  <si>
    <t>WMI-Activity/Operational.evtx</t>
  </si>
  <si>
    <t>C:\Windows\System32\winevt\Logs\Microsoft-Windows-WMI-Activity%4Operational.evtx</t>
  </si>
  <si>
    <t>5857-5861 (регистрация Event Consumer / Filter / Binding, выполнение provider). Фиксирует WMI-persistence и WMI-based lateral movement (wmiexec).</t>
  </si>
  <si>
    <t>EvtxECmd, Hayabusa, Chainsaw, PyWMIPersistenceFinder</t>
  </si>
  <si>
    <t>Event 5861 регистрирует CommandLineEventConsumer с PowerShell-пайлоадом → подтверждает WMI-persistence (см. строку WMI Subscriptions).</t>
  </si>
  <si>
    <t>TaskScheduler/Operational.evtx</t>
  </si>
  <si>
    <t>C:\Windows\System32\winevt\Logs\Microsoft-Windows-TaskScheduler%4Operational.evtx</t>
  </si>
  <si>
    <t>106 (задача зарегистрирована), 140/141 (изменена/удалена), 200/201 (запуск/завершение действия). Дополняет Security 4698 и анализ XML-файлов задач.</t>
  </si>
  <si>
    <t>EvtxECmd, Hayabusa, TaskSchedulerView</t>
  </si>
  <si>
    <t>Event 200 показывает фактический запуск действия задачи (powershell -enc) — доказывает реальное срабатывание персистенции.</t>
  </si>
  <si>
    <t>BITS-Client/Operational.evtx</t>
  </si>
  <si>
    <t>C:\Windows\System32\winevt\Logs\Microsoft-Windows-Bits-Client%4Operational.evtx</t>
  </si>
  <si>
    <t>3 (создана BITS-задача), 4 (завершена), 59/60 (передача началась/закончилась) — URL и локальный путь. Атакующие используют BITS как скрытый канал загрузки (bitsadmin/Start-BitsTransfer).</t>
  </si>
  <si>
    <t>EvtxECmd, Hayabusa, bitsadmin /list, Get-BitsTransfer</t>
  </si>
  <si>
    <t>Event 59 фиксирует BITS-загрузку payload.exe с http://evil[.]ru → LOLBin-доставка в обход прямых HTTP-загрузок.</t>
  </si>
  <si>
    <t>Прочее</t>
  </si>
  <si>
    <t>Thumbcache (кэш миниатюр)</t>
  </si>
  <si>
    <t>C:\Users\%USERNAME%\AppData\Local\Microsoft\Windows\Explorer\thumbcache_*.db</t>
  </si>
  <si>
    <t>Миниатюры просмотренных в Проводнике изображений/документов. Сохраняются ДАЖЕ после удаления исходного файла — позволяют восстановить вид удалённых картинок и доказать их наличие.</t>
  </si>
  <si>
    <t>Thumbcache Viewer, thumbs_viewer, Magnet AXIOM</t>
  </si>
  <si>
    <t>Исходные фото удалены, но Thumbcache хранит миниатюры конфиденциальных чертежей → доказывает, что файлы открывались на этом хосте.</t>
  </si>
  <si>
    <t>Выполнение программ / Сбой</t>
  </si>
  <si>
    <t>WER (Windows Error Reporting)</t>
  </si>
  <si>
    <t>C:\ProgramData\Microsoft\Windows\WER\ReportArchive
C:\Users\%USERNAME%\AppData\Local\Microsoft\Windows\WER</t>
  </si>
  <si>
    <t>Отчёты о сбоях приложений: полный путь к упавшему процессу, версия, загруженные модули, время. Часто фиксирует малварь/инжекты, которые крашнулись, даже если файл уже удалён.</t>
  </si>
  <si>
    <t>Любой текстовый редактор (Report.wer), WERFault анализ, Magnet AXIOM</t>
  </si>
  <si>
    <t>WER Report.wer фиксирует сбой инжектированного modul.dll внутри explorer.exe с полным путём → след process injection, не попавший в другие логи.</t>
  </si>
  <si>
    <t>RDP Bitmap Cache</t>
  </si>
  <si>
    <t>C:\Users\%USERNAME%\AppData\Local\Microsoft\Terminal Server Client\Cache\bcache*.bmc / Cache*.bin</t>
  </si>
  <si>
    <t>Фрагменты (тайлы) экрана удалённой RDP-сессии на стороне КЛИЕНТА. Позволяют частично восстановить, ЧТО видел атакующий на целевом хосте через mstsc.</t>
  </si>
  <si>
    <t>bmc-tools (ANSSI), RdpCacheStitcher, BMC-Tools + ImageMagick</t>
  </si>
  <si>
    <t>Реконструкция bcache → видны фрагменты окна с командной строкой DC и набираемой командой net user — визуальное доказательство действий по RDP.</t>
  </si>
  <si>
    <t>Outlook OST / PST</t>
  </si>
  <si>
    <t>C:\Users\%USERNAME%\AppData\Local\Microsoft\Outlook\*.ost
...\Documents\Outlook Files\*.pst</t>
  </si>
  <si>
    <t>Локальная почтовая база: письма, вложения, контакты, календарь — включая удалённые на сервере элементы. Источник для расследования BEC, фишинга и утечки через почту.</t>
  </si>
  <si>
    <t>Kernel OST Viewer, libpff (pffexport), Aid4Mail, Magnet AXIOM</t>
  </si>
  <si>
    <t>В OST найдено исходящее письмо с вложением confidential.zip на внешний адрес → подтверждает канал утечки данных через корпоративную почту.</t>
  </si>
  <si>
    <t>Создание универсальной группы безопасности в Active Directory. Пользователь, указанный в поле Subject, создал универсальную группу с поддержкой безопасности, указанную в поле New Group.</t>
  </si>
  <si>
    <t>Microsoft Defender начал удаление (remediation) обнаруженного вредоносного ПО. Парное к 1119 (результат).</t>
  </si>
  <si>
    <t>Фиксирует начало операции удаления угрозы. Содержит имя угрозы и путь. Результат см. в 1119.</t>
  </si>
  <si>
    <t>• Множественные 1118 без успешного 1119
• Цикл удаление–возврат (persistence)
• Угроза блокирует своё удаление</t>
  </si>
  <si>
    <t>• Штатное удаление обнаруженной угрозы
• Удаление тестовых файлов (EICAR)</t>
  </si>
  <si>
    <t>Microsoft Defender НЕ смог удалить или нейтрализовать угрозу.</t>
  </si>
  <si>
    <t>Критично: угроза осталась активной. Требует ручного реагирования. Содержит имя угрозы, код ошибки, путь.</t>
  </si>
  <si>
    <t>Defender: сканирование от вредоносного ПО отключено</t>
  </si>
  <si>
    <t>Defender: сканирование защиты от вирусов отключено</t>
  </si>
  <si>
    <t>• Отключение вне окна обслуживания
• Set-MpPreference -DisableRealtimeMonitoring
• Серия 5001/5010/5012 подряд</t>
  </si>
  <si>
    <t>• Установка стороннего AV (Defender → passive)
• Плановое обслуживание админом</t>
  </si>
  <si>
    <t>Defender: изменён статус функции защиты</t>
  </si>
  <si>
    <t>['Штатное удаление угрозы', 'Авторемедиация']</t>
  </si>
  <si>
    <t>• Threat Name — имя угрозы
• Path — путь
• Action — действие</t>
  </si>
  <si>
    <t>index=wineventlog source="*Windows Defender/Operational*" EventCode=1118
| table _time, host, Threat_Name, Path</t>
  </si>
  <si>
    <t>1119 (результат удаления)
1116/1117 (детект+action)</t>
  </si>
  <si>
    <t>['Активное заражение', 'Угроза с самозащитой', 'Недостаток прав у AV']</t>
  </si>
  <si>
    <t>• Threat Name — имя угрозы
• Error Code — код ошибки
• Path — путь</t>
  </si>
  <si>
    <t>index=wineventlog source="*Windows Defender/Operational*" EventCode=1119
| table _time, host, Threat_Name, Error_Code, Path</t>
  </si>
  <si>
    <t>['Админ-обслуживание', 'Переход на сторонний AV', 'Атака (defense evasion)']</t>
  </si>
  <si>
    <t>• Feature — функция
• State — состояние
• User — пользователь</t>
  </si>
  <si>
    <t>index=wineventlog source="*Windows Defender/Operational*" EventCode=5010
| table _time, host, User, Process_Name</t>
  </si>
  <si>
    <t>['Раннее обнаружение угрозы', 'Срабатывание на PUA']</t>
  </si>
  <si>
    <t>• Threat Name — имя угрозы
• Path — путь
• Severity — серьёзность</t>
  </si>
  <si>
    <t>index=wineventlog source="*Windows Defender/Operational*" EventCode=1006
| table _time, host, Threat_Name, Path, Severity</t>
  </si>
  <si>
    <t>['Установка другого AV', 'Админ-обслуживание', 'Атака (defense evasion перед payload)']</t>
  </si>
  <si>
    <t>• Feature — функция
• State — состояние
• User / Process</t>
  </si>
  <si>
    <t>index=wineventlog source="*Windows Defender/Operational*" EventCode=5012
| table _time, host, User, Process_Name</t>
  </si>
  <si>
    <t>['Раннее обнаружение поведения малвари', 'Fileless-атака', 'Ложное срабатывание на admin-инструмент']</t>
  </si>
  <si>
    <t>• Threat/Behavior Name
• Path — путь
• Process Name
• Severity</t>
  </si>
  <si>
    <t>index=wineventlog source="*Windows Defender/Operational*" EventCode=1015
| table _time, host, Threat_Name, Path, Process_Name, Severity</t>
  </si>
  <si>
    <t>['Легитимная разблокировка FP админом', 'Атака: восстановление payload из карантина']</t>
  </si>
  <si>
    <t>• Threat Name — имя угрозы
• Path — путь
• User — кто восстановил</t>
  </si>
  <si>
    <t>index=wineventlog source="*Windows Defender/Operational*" EventCode=1009
| table _time, host, Threat_Name, Path, User</t>
  </si>
  <si>
    <t>['Сетевой сбой (частое)', 'Деградация защиты атакующим']</t>
  </si>
  <si>
    <t>• Error Code — код ошибки
• Signature Version
• Update Source</t>
  </si>
  <si>
    <t>index=wineventlog source="*Windows Defender/Operational*" EventCode=2051
| table _time, host, Error_Code, Signature_Version</t>
  </si>
  <si>
    <t>['Админ-настройка политик', 'Атака (отключение AMSI перед PowerShell-payload)']</t>
  </si>
  <si>
    <t>• Feature Name — функция
• Old/New State
• User / Process</t>
  </si>
  <si>
    <t>index=wineventlog source="*Windows Defender/Operational*" EventCode=5004
| table _time, host, Feature_Name, State, Process_Name, User</t>
  </si>
  <si>
    <t>['Реальный сбой (редко)', 'Атака: kill AV-процесса / BYOVD']</t>
  </si>
  <si>
    <t>• Error Code — код ошибки
• Engine Version
• Process</t>
  </si>
  <si>
    <t>index=wineventlog source="*Windows Defender/Operational*" EventCode=5008
| table _time, host, Error_Code, Engine_Version</t>
  </si>
  <si>
    <t>['Штатная очистка по политике', 'Атака: заметание следов после компрометации']</t>
  </si>
  <si>
    <t>• Cleared Until (timestamp)
• User — пользователь
• Process</t>
  </si>
  <si>
    <t>index=wineventlog source="*Windows Defender/Operational*" EventCode=1013
| table _time, host, User, Process_Name</t>
  </si>
  <si>
    <t>Установлена новая служба</t>
  </si>
  <si>
    <t>В системе установлена новая служба (дополняет 4697 в Security). Ключевое событие для детекта PsExec, persistence и lateral movement.</t>
  </si>
  <si>
    <t>Содержит имя службы, ImagePath (путь к бинарю), тип запуска, аккаунт службы. PSEXESVC, случайные имена, пути в Temp — красные флаги.</t>
  </si>
  <si>
    <t>• PSEXESVC / случайное имя службы (Cobalt Strike, Metasploit)
• ImagePath в \Temp\, \AppData\, \ProgramData\
• Служба, запускающая cmd.exe / powershell -enc
• Установка в нерабочее время</t>
  </si>
  <si>
    <t>• Установка легитимного ПО/драйверов
• Обновления Windows, развёртывание агентов (EDR, SCCM)
• Переустановка служб</t>
  </si>
  <si>
    <t>T1543.003, T1569.002, T1021.002</t>
  </si>
  <si>
    <t>['PsExec lateral movement', 'Установка backdoor-службы', 'Легитимная установка ПО']</t>
  </si>
  <si>
    <t>• Service Name — имя службы
• Image Path — путь к бинарю
• Service Type / Start Type
• Account — аккаунт запуска</t>
  </si>
  <si>
    <t>index=wineventlog source="WinEventLog:System" EventCode=7045
  (Service_File_Name="*\\Temp\\*" OR Service_File_Name="*PSEXESVC*" OR Service_File_Name="*powershell*")
| table _time, host, Service_Name, Service_File_Name, Service_Start_Type</t>
  </si>
  <si>
    <t>4697 (установка службы в Security)
4624 LT=3 (сетевой вход PsExec)
4688 (процесс)
Sysmon 1</t>
  </si>
  <si>
    <t>WMI / Удалённое выполнение</t>
  </si>
  <si>
    <t>WMI: регистрация постоянного Event Consumer</t>
  </si>
  <si>
    <t>Microsoft-Windows-WMI-Activity/Operational</t>
  </si>
  <si>
    <t>Зарегистрирован постоянный WMI Event Consumer (__EventConsumer + FilterToConsumerBinding). Классика fileless persistence.</t>
  </si>
  <si>
    <t>Содержит имя consumer, текст фильтра (WQL) и привязку. CommandLineEventConsumer / ActiveScriptEventConsumer — красные флаги.</t>
  </si>
  <si>
    <t>• CommandLineEventConsumer с cmd/powershell
• ActiveScriptEventConsumer (VBScript/JScript)
• Фильтр на __InstanceModificationEvent (триггер по времени/входу)
• Persistence без записи в Run/задачах</t>
  </si>
  <si>
    <t>• Легитимный мониторинг (SCCM, SCOM)
• Некоторые антивирусы/EDR
• Редкое — любое требует проверки</t>
  </si>
  <si>
    <t>T1546.003, T1047</t>
  </si>
  <si>
    <t>['WMI fileless persistence', 'Легитимный мониторинг (SCCM/SCOM)']</t>
  </si>
  <si>
    <t>https://learn.microsoft.com/en-us/windows/win32/wmisdk/monitoring-events</t>
  </si>
  <si>
    <t>• Consumer Name
• Filter / Query (WQL)
• Operation — тип привязки
• User — кто зарегистрировал</t>
  </si>
  <si>
    <t>index=wineventlog source="*WMI-Activity/Operational*" EventCode=5861
| table _time, host, User, Consumer, Query</t>
  </si>
  <si>
    <t>5857/5858/5860 (WMI provider/операции)
4688 (wmiprvse.exe)
Sysmon 19/20/21 (WmiEvent)</t>
  </si>
  <si>
    <t>WMI: загружен provider (выполнение)</t>
  </si>
  <si>
    <t>WMI-provider был загружен и начал выполнение операций. Фиксирует WMI-based выполнение команд (wmiexec).</t>
  </si>
  <si>
    <t>Содержит имя provider, путь, PID, пользователя. Полезно для корреляции с удалённым выполнением.</t>
  </si>
  <si>
    <t>• wmiexec / Invoke-WmiMethod для lateral movement
• Запуск Win32_Process.Create удалённо
• Нетипичный provider из пользовательского контекста</t>
  </si>
  <si>
    <t>• Штатные WMI-запросы ПО и скриптов
• Мониторинг/инвентаризация
• Очень шумное — фильтровать</t>
  </si>
  <si>
    <t>T1047, T1021</t>
  </si>
  <si>
    <t>['wmiexec lateral movement', 'Штатные WMI-запросы ПО']</t>
  </si>
  <si>
    <t>https://learn.microsoft.com/en-us/windows/win32/wmisdk/tracing-wmi-activity</t>
  </si>
  <si>
    <t>• Provider Name
• Path / PID
• User — контекст выполнения</t>
  </si>
  <si>
    <t>index=wineventlog source="*WMI-Activity/Operational*" EventCode=5857
| table _time, host, User, ProviderName, Path</t>
  </si>
  <si>
    <t>5861 (consumer registration)
4688 (wmiprvse.exe → child)
4624 LT=3 (сетевой вход)</t>
  </si>
  <si>
    <t>WinRM: создана сессия оболочки</t>
  </si>
  <si>
    <t>Microsoft-Windows-WinRM/Operational</t>
  </si>
  <si>
    <t>WinRM создал командную оболочку (shell) — основа PowerShell Remoting и Enter-PSSession. Индикатор удалённого выполнения.</t>
  </si>
  <si>
    <t>Содержит ID сессии, пользователя, источник. Коррелирует с PowerShell 4104 и Security 4624 LT=3.</t>
  </si>
  <si>
    <t>• PowerShell Remoting для lateral movement
• Enter-PSSession / Invoke-Command с нетипичных хостов
• Сессии в нерабочее время
• Источник — внешний IP</t>
  </si>
  <si>
    <t>• Штатное администрирование через PS Remoting
• Ansible/DSC/автоматизация
• Управление серверами</t>
  </si>
  <si>
    <t>T1021.006, T1059.001</t>
  </si>
  <si>
    <t>['PowerShell Remoting lateral movement', 'Штатное администрирование']</t>
  </si>
  <si>
    <t>https://learn.microsoft.com/en-us/windows/win32/winrm/portal</t>
  </si>
  <si>
    <t>• Shell ID / Session
• User — пользователь
• Source — источник подключения</t>
  </si>
  <si>
    <t>index=wineventlog source="*WinRM/Operational*" EventCode=91
| table _time, host, User, fqdn</t>
  </si>
  <si>
    <t>4104 (PowerShell ScriptBlock)
4624 LT=3 (сетевой вход)
4688 (wsmprovhost.exe)</t>
  </si>
  <si>
    <t>WinRM: аутентификация клиента</t>
  </si>
  <si>
    <t>Зафиксирована аутентификация клиента WinRM. Полезно для отслеживания источника удалённых подключений.</t>
  </si>
  <si>
    <t>Содержит тип аутентификации (Kerberos/Negotiate/Basic) и учётную запись. Basic auth — красный флаг.</t>
  </si>
  <si>
    <t>• Basic/нешифрованная аутентификация WinRM
• Подключения с внешних/нетипичных IP
• Множественные аутентификации (перебор)</t>
  </si>
  <si>
    <t>• Штатные PS Remoting-сессии админов
• Автоматизация (Ansible/DSC)
• Мониторинг</t>
  </si>
  <si>
    <t>['WinRM-аутентификация админа', 'Автоматизация']</t>
  </si>
  <si>
    <t>• Authentication Mechanism
• User — учётная запись
• Source IP</t>
  </si>
  <si>
    <t>index=wineventlog source="*WinRM/Operational*" EventCode=168
| table _time, host, User, Authentication</t>
  </si>
  <si>
    <t>91 (создание shell)
4624 LT=3
4104 (PowerShell)</t>
  </si>
  <si>
    <t>BITS / Загрузка</t>
  </si>
  <si>
    <t>BITS: передача задания началась</t>
  </si>
  <si>
    <t>Microsoft-Windows-Bits-Client/Operational</t>
  </si>
  <si>
    <t>Служба BITS начала передачу по URL. Атакующие используют BITS как скрытый LOLBin-канал загрузки payload (bitsadmin, Start-BitsTransfer).</t>
  </si>
  <si>
    <t>Содержит URL, локальный путь, имя задания, пользователя. URL на внешние/подозрительные хосты — красный флаг.</t>
  </si>
  <si>
    <t>• Загрузка .exe/.dll/.ps1 с внешнего хоста
• bitsadmin /transfer, Start-BitsTransfer в скриптах
• Сохранение в \Temp\, \AppData\
• Загрузка в нерабочее время</t>
  </si>
  <si>
    <t>• Windows Update / обновления ПО
• Загрузка через браузер/облачные сервисы
• Штатные BITS-задания приложений</t>
  </si>
  <si>
    <t>T1197, T1105</t>
  </si>
  <si>
    <t>['LOLBin-загрузка payload через BITS', 'Штатные обновления']</t>
  </si>
  <si>
    <t>https://learn.microsoft.com/en-us/windows/win32/bits/event-logging</t>
  </si>
  <si>
    <t>• URL — источник
• Local Path — куда сохранено
• Job Name / Owner</t>
  </si>
  <si>
    <t>index=wineventlog source="*Bits-Client/Operational*" EventCode=59
  NOT url="*windowsupdate.com*" NOT url="*microsoft.com*"
| table _time, host, url, name, User</t>
  </si>
  <si>
    <t>4688 (bitsadmin.exe / powershell)
4104 (Start-BitsTransfer)
Sysmon 3 (network)
Sysmon 11 (file create)</t>
  </si>
  <si>
    <t>AppLocker / WDAC</t>
  </si>
  <si>
    <t>AppLocker: выполнение файла заблокировано</t>
  </si>
  <si>
    <t>Microsoft-Windows-AppLocker/EXE and DLL</t>
  </si>
  <si>
    <t>AppLocker ЗАБЛОКИРОВАЛ запуск EXE/DLL согласно правилу (enforce). Прямой индикатор попытки запуска неразрешённого ПО.</t>
  </si>
  <si>
    <t>Содержит путь к файлу, хэш, пользователя, правило. 8003 — audit (бы заблокировал), 8004 — реальная блокировка.</t>
  </si>
  <si>
    <t>• Попытка запуска хак-инструмента из \Temp\
• Серия блокировок (перебор обхода)
• Блокировка LOLBin в нетипичном контексте</t>
  </si>
  <si>
    <t>• Слишком строгое правило (ложный блок)
• Новое легитимное ПО без правила
• Требует настройки whitelisting</t>
  </si>
  <si>
    <t>T1059, T1204, T1218</t>
  </si>
  <si>
    <t>['Блокировка неразрешённого ПО', 'Ложный блок легитимного ПО']</t>
  </si>
  <si>
    <t>https://learn.microsoft.com/en-us/windows/security/application-security/application-control/app-control-for-business/applocker/using-event-viewer-with-applocker</t>
  </si>
  <si>
    <t>• File Path / File Hash
• User — пользователь
• Rule — сработавшее правило</t>
  </si>
  <si>
    <t>index=wineventlog source="*AppLocker*" EventCode=8004
| stats count by host, User, FilePath
| sort -count</t>
  </si>
  <si>
    <t>8003 (audit-режим)
4688 (попытка запуска)
Sysmon 1</t>
  </si>
  <si>
    <t>AppLocker: файл был бы заблокирован (audit)</t>
  </si>
  <si>
    <t>AppLocker в режиме audit-only: файл БЫЛ БЫ заблокирован, но был разрешён. Полезно для выявления подозрительных запусков без блокировки.</t>
  </si>
  <si>
    <t>Содержит путь, хэш, пользователя. Позволяет хантить подозрительные запуски до включения enforce.</t>
  </si>
  <si>
    <t>• Запуск неразрешённого ПО (пока разрешён)
• LOLBin из нетипичных путей
• Хак-инструменты в audit-режиме</t>
  </si>
  <si>
    <t>• Легитимное ПО без правила (фаза настройки)
• Портативные приложения
• Обычно шумно в audit</t>
  </si>
  <si>
    <t>['Хантинг подозрительных запусков', 'Настройка whitelisting']</t>
  </si>
  <si>
    <t>• File Path / File Hash
• User
• Rule / Policy</t>
  </si>
  <si>
    <t>index=wineventlog source="*AppLocker*" EventCode=8003
| stats count by host, User, FilePath
| sort -count</t>
  </si>
  <si>
    <t>8004 (enforce-блокировка)
4688 (запуск)
Sysmon 1</t>
  </si>
  <si>
    <t>WDAC/CodeIntegrity: выполнение заблокировано</t>
  </si>
  <si>
    <t>Microsoft-Windows-CodeIntegrity/Operational</t>
  </si>
  <si>
    <t>Windows Defender Application Control (WDAC) ЗАБЛОКИРОВАЛ загрузку/выполнение файла, не соответствующего политике целостности кода (enforce).</t>
  </si>
  <si>
    <t>Содержит путь к файлу, хэш, инфо о подписи. 3076 — audit, 3077 — реальная блокировка.</t>
  </si>
  <si>
    <t>• Попытка запуска неподписанного/неразрешённого бинаря
• Загрузка вредоносного драйвера (BYOVD)
• Серия блокировок</t>
  </si>
  <si>
    <t>• Легитимное неподписанное ПО
• Старые драйверы
• Фаза настройки политики WDAC</t>
  </si>
  <si>
    <t>T1059, T1218, T1543.003</t>
  </si>
  <si>
    <t>['Блокировка неподписанного кода', 'BYOVD-защита', 'Ложный блок легитимного ПО']</t>
  </si>
  <si>
    <t>https://learn.microsoft.com/en-us/windows/security/application-security/application-control/app-control-for-business/operations/event-id-explanations</t>
  </si>
  <si>
    <t>• File Name / Path
• Hash
• Signature Info
• Policy</t>
  </si>
  <si>
    <t>index=wineventlog source="*CodeIntegrity/Operational*" EventCode=3077
| table _time, host, File_Name, Process_Name</t>
  </si>
  <si>
    <t>3076 (audit-режим)
4688 (запуск)
7045 (установка драйвера/службы)
Sysmon 6 (driver load)</t>
  </si>
  <si>
    <t>WDAC/CodeIntegrity: файл был бы заблокирован (audit)</t>
  </si>
  <si>
    <t>WDAC в режиме audit: файл БЫЛ БЫ заблокирован по политике целостности кода, но был разрешён. Полезно для хантинга и подготовки enforce-политики.</t>
  </si>
  <si>
    <t>Содержит путь, хэш, инфо о подписи. Аналог 8003 для AppLocker.</t>
  </si>
  <si>
    <t>• Неподписанный бинарь (пока разрешён)
• Подозрительный драйвер
• LOLBin в нетипичном контексте</t>
  </si>
  <si>
    <t>• Легитимное неподписанное ПО
• Фаза настройки политики
• Шумно в audit</t>
  </si>
  <si>
    <t>T1059, T1218</t>
  </si>
  <si>
    <t>['Хантинг неподписанного кода', 'Подготовка enforce-политики']</t>
  </si>
  <si>
    <t>• File Name / Path
• Hash
• Signature Info</t>
  </si>
  <si>
    <t>index=wineventlog source="*CodeIntegrity/Operational*" EventCode=3076
| table _time, host, File_Name, Process_Name</t>
  </si>
  <si>
    <t>3077 (enforce-блокировка)
4688 (запуск)
Sysmon 6 (driver load)</t>
  </si>
  <si>
    <t>Вход члена специальной группы (Special Groups)</t>
  </si>
  <si>
    <t>Выполнен вход учётной записью, входящей в "Special Group" (задаётся админом, обычно Domain/Enterprise Admins). Целевой мониторинг входов привилегированных учёток.</t>
  </si>
  <si>
    <t>Содержит учётную запись, SID, список special groups, ID входа. Требует настройки Special Groups Auditing через реестр/GPO.</t>
  </si>
  <si>
    <t>• Вход привилегированной учётки в нерабочее время
• Вход Domain Admin на нетипичный хост (рабочая станция)
• Внезапный вход редко используемой admin-учётки</t>
  </si>
  <si>
    <t>• Штатный вход админа на сервер/DC
• Обслуживание инфраструктуры
• Критично только в нетипичном контексте</t>
  </si>
  <si>
    <t>T1078.002, T1078.003</t>
  </si>
  <si>
    <t>['Мониторинг входов привилегированных учёток', 'Штатный вход админа']</t>
  </si>
  <si>
    <t>https://learn.microsoft.com/en-us/windows/security/threat-protection/auditing/event-4964</t>
  </si>
  <si>
    <t>• Account Name / SID
• Special Groups — список групп
• Logon ID</t>
  </si>
  <si>
    <t>index=wineventlog source="WinEventLog:Security" EventCode=4964
| table _time, host, Account_Name, New_Logon_Security_ID</t>
  </si>
  <si>
    <t>4624 (вход)
4672 (привилегированный вход)
4768 (TGT)</t>
  </si>
  <si>
    <t>Чтение учётных данных из Credential Manager</t>
  </si>
  <si>
    <t>Читались учётные данные из хранилища Windows Credential Manager. Массовое чтение — индикатор кражи сохранённых паролей (RDP, браузер, DPAPI).</t>
  </si>
  <si>
    <t>Содержит учётную запись, процесс и имя хранимого объекта. Чтение нетипичным процессом — красный флаг.</t>
  </si>
  <si>
    <t>• Массовое чтение всех credentials (vaultcmd, дамп)
• Чтение из powershell/cmd/нетипичного процесса
• Корреляция с инструментами (Mimikatz, SharpDPAPI)</t>
  </si>
  <si>
    <t>• Штатное чтение при входе/RDP
• Браузеры и приложения с сохранёнными паролями
• Шумное — фильтровать по процессу</t>
  </si>
  <si>
    <t>T1555.004, T1003</t>
  </si>
  <si>
    <t>['Кража сохранённых паролей', 'Штатное чтение при входе/RDP']</t>
  </si>
  <si>
    <t>https://learn.microsoft.com/en-us/windows/security/threat-protection/auditing/event-5379</t>
  </si>
  <si>
    <t>• Account / Subject
• Process Name
• Credential / Vault Item</t>
  </si>
  <si>
    <t>index=wineventlog source="WinEventLog:Security" EventCode=5379
  (Process_Name="*powershell*" OR Process_Name="*cmd*" OR Process_Name="*rundll32*")
| stats count by host, Subject_Account_Name, Process_Name</t>
  </si>
  <si>
    <t>4688 (процесс-читатель)
4624 LT=2/10 (вход/RDP)
Sysmon 10 (доступ к процессу)</t>
  </si>
  <si>
    <t>Изменено состояние транзакции (TxF)</t>
  </si>
  <si>
    <t>Изменилось состояние файловой транзакции (Transactional NTFS). Редко важно само по себе, но используется в технике Process Doppelgänging.</t>
  </si>
  <si>
    <t>Содержит информацию о транзакции (TxF). Аномально высокий объём — возможный признак Doppelgänging/Herpaderping.</t>
  </si>
  <si>
    <t>• Аномальный всплеск TxF-транзакций
• Корреляция с запуском процесса без файла на диске
• Process Doppelgänging</t>
  </si>
  <si>
    <t>• Легитимные приложения с TxF (редко)
• Некоторые инсталляторы
• Очень редкое событие</t>
  </si>
  <si>
    <t>T1055.013</t>
  </si>
  <si>
    <t>['Process Doppelgänging', 'Редкие легитимные TxF-приложения']</t>
  </si>
  <si>
    <t>https://learn.microsoft.com/en-us/windows/security/threat-protection/auditing/event-4985</t>
  </si>
  <si>
    <t>• Transaction ID
• Process — инициатор
• State</t>
  </si>
  <si>
    <t>index=wineventlog source="WinEventLog:Security" EventCode=4985
| stats count by host, Process_Name
| where count&gt;100</t>
  </si>
  <si>
    <t>4688 (запуск процесса)
Sysmon 1
Sysmon 11 (file create)</t>
  </si>
  <si>
    <t>Выполнен вход учётной записью, входящей в Special Group (задаётся админом, обычно Domain/Enterprise Admins). Целевой мониторинг входов привилегированных учёток.</t>
  </si>
  <si>
    <t>['Мониторинг входов привилегированных учёток', 'Штатный вход админа на сервер/DC']</t>
  </si>
  <si>
    <t>index=wineventlog EventCode=4964
| table _time, host, Account_Name, New_Logon_Security_ID</t>
  </si>
  <si>
    <t>index=wineventlog EventCode=5379
  (Process_Name="*powershell*" OR Process_Name="*cmd*" OR Process_Name="*rundll32*")
| stats count by host, Subject_Account_Name, Process_Name</t>
  </si>
  <si>
    <t>Службы</t>
  </si>
  <si>
    <t>['PsExec lateral movement', 'Установка backdoor-службы', 'Легитимная установка ПО/драйверов']</t>
  </si>
  <si>
    <t>• Consumer Name
• Filter / Query (WQL)
• Operation
• User — кто зарегистрировал</t>
  </si>
  <si>
    <t>5857 (WMI provider выполнение)
4688 (wmiprvse.exe)
Sysmon 19/20/21 (WmiEvent)</t>
  </si>
  <si>
    <t>• File Path / File Hash
• User
• Rule — сработавшее правило</t>
  </si>
  <si>
    <t>['Блокировка неподписанного кода', 'BYOVD-защита']</t>
  </si>
  <si>
    <t>3076 (audit-режим)
4688 (запуск)
7045 (установка драйвера)
Sysmon 6 (driver load)</t>
  </si>
  <si>
    <t>['LOLBin-загрузка payload через BITS', 'Штатные обновления ПО']</t>
  </si>
  <si>
    <t>['WinRM-аутентификация админа', 'Автоматизация (Ansible/DSC)']</t>
  </si>
  <si>
    <t>NTLM Relay / Coercion</t>
  </si>
  <si>
    <t>Responder</t>
  </si>
  <si>
    <t>Отравление LLMNR / NBT-NS / mDNS и перехват NetNTLM-хешей. Классика первого шага во внутренней сети. Поднимает rogue-серверы (SMB, HTTP, LDAP) и собирает хеши для оффлайн-взлома или relay.</t>
  </si>
  <si>
    <t>Responder.py; отравляет UDP 5355 (LLMNR) / 137 (NBT-NS); вывод в Responder-Session.log, хеши NetNTLMv2</t>
  </si>
  <si>
    <t>T1557.001 (LLMNR/NBT-NS Poisoning), T1110.002, T1040</t>
  </si>
  <si>
    <t>4624 LT=3, 4776 (NTLM), всплеск LLMNR/NBT-NS запросов (сетевой сенсор); Sysmon 22 (DNS)</t>
  </si>
  <si>
    <t>ntlmrelayx (Impacket)</t>
  </si>
  <si>
    <t>Релей перехваченной NTLM-аутентификации на целевые сервисы (SMB, LDAP, AD CS HTTP). Без взлома хеша — сразу аутентификация от имени жертвы. Ключевой вектор ESC8 (relay на ADCS) и RBCD.</t>
  </si>
  <si>
    <t>ntlmrelayx.py -t ldap://DC -smb2support; --escalate-user; --delegate-access</t>
  </si>
  <si>
    <t>T1557.001, T1187 (Forced Auth), T1550.002 (PtH), T1098.002</t>
  </si>
  <si>
    <t>4624 LT=3, 4662 (если relay → LDAP/DCSync), 5145, 4768 (ADCS-сертификат после relay)</t>
  </si>
  <si>
    <t>Coercer / PetitPotam / PrinterBug</t>
  </si>
  <si>
    <t>Принуждение аутентификации (coercion): заставляют машину/DC аутентифицироваться на подконтрольный хост через MS-EFSRPC (PetitPotam), MS-RPRN (PrinterBug), MS-DFSNM. Связка с ntlmrelayx → захват DC.</t>
  </si>
  <si>
    <t>Coercer.py; petitpotam.py; printerbug.py; dementor.py</t>
  </si>
  <si>
    <t>T1187 (Forced Authentication), T1557.001</t>
  </si>
  <si>
    <t>5145 (доступ к пайпам lsarpc/efsrpc/spoolss), 4624 LT=3 от учётки машины (имя$)</t>
  </si>
  <si>
    <t>mitm6</t>
  </si>
  <si>
    <t>Атака на IPv6: подмена DNS через rogue DHCPv6 (по умолчанию IPv6 приоритетнее IPv4). Перенаправляет WPAD/трафик на атакующего. Часто в связке с ntlmrelayx.</t>
  </si>
  <si>
    <t>mitm6 -d domain.local; rogue DHCPv6 + WPAD</t>
  </si>
  <si>
    <t>T1557 (Adversary-in-the-Middle), T1557.001</t>
  </si>
  <si>
    <t>Всплеск DHCPv6 (сетевой сенсор), 4624 LT=3, 4662 (при relay на LDAP)</t>
  </si>
  <si>
    <t>AD CS / Kerberos</t>
  </si>
  <si>
    <t>Certipy</t>
  </si>
  <si>
    <t>Основной инструмент для атак на Active Directory Certificate Services (AD CS). Автоматизирует ESC1-ESC8/ESC11: выпуск сертификатов от имени любого пользователя → эскалация до Domain Admin. Критично актуально в 2024-2025.</t>
  </si>
  <si>
    <t>certipy find/req/auth; .pfx-сертификаты; ESC1-ESC8 флаги</t>
  </si>
  <si>
    <t>T1649 (Steal/Forge Auth Certificates), T1556, T1078</t>
  </si>
  <si>
    <t>4886/4887 (выпуск сертификата CA), 4768 (PKINIT TGT по сертификату), 4624 LT=3, 4662</t>
  </si>
  <si>
    <t>Kerbrute</t>
  </si>
  <si>
    <t>Быстрый перебор и валидация учёток через Kerberos pre-auth (без блокировок при username enum). User enumeration, password spraying, brute-force. Тихий — не генерирует 4625 при перечислении.</t>
  </si>
  <si>
    <t>kerbrute userenum/passwordspray/bruteuser; запросы AS-REQ</t>
  </si>
  <si>
    <t>T1110.003 (Password Spraying), T1087.002 (Account Discovery)</t>
  </si>
  <si>
    <t>4768 (TGT запросы), 4771 (pre-auth fail — всплеск), 4625 (при spray)</t>
  </si>
  <si>
    <t>Certify (GhostPack)</t>
  </si>
  <si>
    <t>.NET-аналог Certipy для работы из-под Windows-хоста в памяти. Поиск уязвимых шаблонов AD CS и выпуск сертификатов (ESC1-ESC8). Часть GhostPack-набора, запускается через execute-assembly из C2.</t>
  </si>
  <si>
    <t>Certify.exe find /vulnerable; request /ca:... /template:...</t>
  </si>
  <si>
    <t>T1649 (Steal/Forge Auth Certificates)</t>
  </si>
  <si>
    <t>4886/4887 (выпуск сертификата), 4768 (PKINIT), 4688 (Certify.exe / execute-assembly)</t>
  </si>
  <si>
    <t>GhostPack / .NET Recon</t>
  </si>
  <si>
    <t>Seatbelt (GhostPack)</t>
  </si>
  <si>
    <t>Хост-recon из-под Windows: собирает данные о безопасности (UAC, LAPS, AppLocker, правила файрвола, токены, credentials, браузеры, RDP-сессии). Запускается через execute-assembly из C2.</t>
  </si>
  <si>
    <t>Seatbelt.exe -group=all; часто in-memory через Cobalt/Sliver</t>
  </si>
  <si>
    <t>T1082 (System Information Discovery), T1518.001, T1087</t>
  </si>
  <si>
    <t>4688 (Seatbelt.exe), 4663 (доступ к файлам конфигурации), 4104 при execute-assembly-обёртке</t>
  </si>
  <si>
    <t>SharpUp (GhostPack)</t>
  </si>
  <si>
    <t>.NET-порт PowerUp: поиск путей локальной эскалации привилегий (unquoted service paths, слабые ACL на службы/реестр, AlwaysInstallElevated, modifiable binaries). Работает без PowerShell (обход AMSI/логирования).</t>
  </si>
  <si>
    <t>SharpUp.exe audit; in-memory через execute-assembly</t>
  </si>
  <si>
    <t>T1068, T1574.001 (DLL Hijack), T1574.009, T1548.002</t>
  </si>
  <si>
    <t>4688 (SharpUp.exe), 4656/4663 (доступ к бинарям служб), Sysmon 1/7</t>
  </si>
  <si>
    <t>SharpView / SharpHound (C#)</t>
  </si>
  <si>
    <t>.NET-аналог PowerView для AD-recon без PowerShell: перечисление пользователей, групп, шар, доверительных отношений, поиск путей к Domain Admin. Часто в связке с BloodHound.</t>
  </si>
  <si>
    <t>SharpView.exe Get-DomainUser/Get-DomainGroup; множество LDAP-запросов</t>
  </si>
  <si>
    <t>T1087.002, T1069.002, T1482, T1018</t>
  </si>
  <si>
    <t>4662, 4661, 5145, 4624 LT=3 (всплеск LDAP-запросов к DC)</t>
  </si>
  <si>
    <t>Phishing / AiTM / Initial Access</t>
  </si>
  <si>
    <t>Evilginx</t>
  </si>
  <si>
    <t>AiTM (Adversary-in-the-Middle) reverse-proxy для фишинга: перехватывает логин/пароль И сессионные cookie (обход MFA). Ключевой инструмент для угона M365/Google-аккаунтов в 2024-2025.</t>
  </si>
  <si>
    <t>evilginx2/evilginx; phishlets (o365, google); перехват ESTSAUTH-cookie</t>
  </si>
  <si>
    <t>T1557 (AiTM), T1539 (Steal Web Session Cookie), T1566.002, T1621</t>
  </si>
  <si>
    <t>На endpoint почти не видно; детект по Azure AD / M365 (невозможные перемещения, новый device), URL-репутация</t>
  </si>
  <si>
    <t>Gophish</t>
  </si>
  <si>
    <t>Open-source фреймворк для проведения фишинговых кампаний: рассылка писем, landing-страницы, сбор статистики кликов/ввода кредов. Используется и легитимно (awareness), и злоумышленно.</t>
  </si>
  <si>
    <t>gophish; HTTP-сервер с landing-страницами; email-рассылка</t>
  </si>
  <si>
    <t>T1566.001/002 (Phishing), T1598 (Phishing for Information)</t>
  </si>
  <si>
    <t>На endpoint: 4688 (открытие вложения), Sysmon 1 (child от Outlook/браузера); основной детект — email/proxy</t>
  </si>
  <si>
    <t>SET (Social-Engineer Toolkit)</t>
  </si>
  <si>
    <t>Классический фреймворк социальной инженерии: клонирование сайтов для кражи кредов, генерация вредоносных вложений, payload-доставка, QR/USB-атаки. Часто в связке с Metasploit.</t>
  </si>
  <si>
    <t>setoolkit; credential harvester; клонированные landing-страницы</t>
  </si>
  <si>
    <t>T1566 (Phishing), T1204 (User Execution), T1598</t>
  </si>
  <si>
    <t>4688 (payload от браузера/Office), Sysmon 1; детект по email/proxy/URL</t>
  </si>
  <si>
    <t>Plaso / log2timeline</t>
  </si>
  <si>
    <t>Движок создания super timeline: извлекает временные метки из сотен типов артефактов (MFT, registry, EVTX, prefetch, browser, LNK) и сводит в единую хронологию. Основа timeline-анализа в DFIR.</t>
  </si>
  <si>
    <t>log2timeline.py, psort.py, pinfo.py; вывод .plaso → CSV/Timesketch</t>
  </si>
  <si>
    <t>Timeline analysis, DFIR</t>
  </si>
  <si>
    <t>Disk image, отдельные артефакты (MFT, EVTX, registry, prefetch, $UsnJrnl, browser)</t>
  </si>
  <si>
    <t>https://github.com/log2timeline/plaso</t>
  </si>
  <si>
    <t>Timesketch</t>
  </si>
  <si>
    <t>Коллаборативный анализ timeline от Google. Визуализирует вывод Plaso, позволяет нескольким аналитикам работать над одним расследованием, строить истории (stories), тегировать события, применять Sigma.</t>
  </si>
  <si>
    <t>timesketch (Docker); импорт .plaso / CSV / JSONL</t>
  </si>
  <si>
    <t>Timeline analysis, collaborative DFIR</t>
  </si>
  <si>
    <t>Plaso storage (.plaso), CSV/JSONL timeline, Sigma-правила</t>
  </si>
  <si>
    <t>https://github.com/google/timesketch</t>
  </si>
  <si>
    <t>MemProcFS</t>
  </si>
  <si>
    <t>Представляет RAM-дамп как файловую систему — можно навигировать процессы/сеть/реестр как папки. Быстрее и удобнее Volatility для быстрого triage; интегрирует YARA и плагины. Автор — Ulf Frisk.</t>
  </si>
  <si>
    <t>MemProcFS.exe -device dump.raw -mount M:; forensic/findevil модули</t>
  </si>
  <si>
    <t>Memory forensics, fast triage</t>
  </si>
  <si>
    <t>RAM dump (raw, crash, vmem, живая память через PCILeech/WinPmem)</t>
  </si>
  <si>
    <t>https://github.com/ufrisk/MemProcFS</t>
  </si>
  <si>
    <t>RegRipper</t>
  </si>
  <si>
    <t>Windows / Cross (Perl)</t>
  </si>
  <si>
    <t>Парсер реестровых hives с плагинами под каждый форензик-артефакт (run, services, userassist, shimcache, amcache, usbstor, mountpoints2). Автор — Harlan Carvey. Классика Windows DFIR.</t>
  </si>
  <si>
    <t>rip.pl, rip.exe; плагины: run, services, userassist, shimcache, amcache</t>
  </si>
  <si>
    <t>Registry forensics, artifact parsing</t>
  </si>
  <si>
    <t>Registry hives (NTUSER.DAT, SYSTEM, SOFTWARE, SAM, SECURITY, UsrClass.dat)</t>
  </si>
  <si>
    <t>https://github.com/keydet89/RegRipper3.0</t>
  </si>
  <si>
    <t>AD Security Audit</t>
  </si>
  <si>
    <t>PingCastle</t>
  </si>
  <si>
    <t>Аудит безопасности Active Directory с оценкой зрелости (risk score). Выявляет misconfig: устаревшие протоколы, опасные делегирования, AdminSDHolder, slabye пароли, trust-проблемы. Стандарт для быстрой оценки AD.</t>
  </si>
  <si>
    <t>PingCastle.exe --healthcheck; HTML-отчёт с risk score</t>
  </si>
  <si>
    <t>AD posture assessment, hardening</t>
  </si>
  <si>
    <t>LDAP-запросы к DC, анализ GPO, trust, делегирований, ACL</t>
  </si>
  <si>
    <t>https://www.pingcastle.com/</t>
  </si>
  <si>
    <t>PurpleKnight (Semperis)</t>
  </si>
  <si>
    <t>Бесплатный инструмент аудита AD/Entra ID от Semperis. &gt;150 проверок на индикаторы компрометации (IOC) и уязвимости (IOE): Kerberoasting, AS-REP, DCSync-права, shadow admins, AD CS misconfig (ESC). Даёт оценку и рекомендации.</t>
  </si>
  <si>
    <t>PurpleKnight.exe; HTML/CSV-отчёт с IOE/IOC и score</t>
  </si>
  <si>
    <t>AD/Entra posture, IOE/IOC detection</t>
  </si>
  <si>
    <t>LDAP/AD-запросы, AD CS-шаблоны, Entra ID-конфигурация</t>
  </si>
  <si>
    <t>https://www.semperis.com/purple-knight/</t>
  </si>
  <si>
    <t>BloodHound (defensive / CE)</t>
  </si>
  <si>
    <t>Тот же BloodHound, но в руках защитников: визуализация attack paths к Domain Admin для их устранения (урезание избыточных прав, опасных ACL). BloodHound CE — бесплатная облачная версия от SpecterOps.</t>
  </si>
  <si>
    <t>SharpHound (сбор), bloodhound-ce; анализ attack paths</t>
  </si>
  <si>
    <t>AD attack path management (defensive)</t>
  </si>
  <si>
    <t>Сбор через SharpHound (LDAP, SMB, сессии) → граф в Neo4j</t>
  </si>
  <si>
    <t>https://github.com/SpecterOps/BloodHound</t>
  </si>
  <si>
    <t>Arkime (ex-Moloch)</t>
  </si>
  <si>
    <t>Full Packet Capture (FPC) и индексация в больших объёмах. Хранит сырой трафик и позволяет искать по сессиям (SPI — session profiling), выгружать PCAP по запросу. Часто в связке с Suricata/Zeek.</t>
  </si>
  <si>
    <t>arkime-capture, arkime-viewer; OpenSearch backend</t>
  </si>
  <si>
    <t>D3-NTA, full packet capture</t>
  </si>
  <si>
    <t>Сырой сетевой трафик (live capture / PCAP), сессии, обогащённые SPI-метаданные</t>
  </si>
  <si>
    <t>https://arkime.com/</t>
  </si>
  <si>
    <t>Security Onion</t>
  </si>
  <si>
    <t>Linux дистрибутив</t>
  </si>
  <si>
    <t>Готовый дистрибутив для NSM/threat hunting и IR. Объединяет Suricata, Zeek, Elastic Stack, Wazuh, Stenographer (FPC), CyberChef в единой сборке с dashboards и alert-pivoting. Популярен для быстрого развёртывания SOC.</t>
  </si>
  <si>
    <t>so-* сервисы; Suricata + Zeek + Elastic + Wazuh</t>
  </si>
  <si>
    <t>NSM, IDS, threat hunting (дистрибутив)</t>
  </si>
  <si>
    <t>Сетевой трафик, Zeek-логи, Suricata-alerts, endpoint-телеметрия (Wazuh/Elastic Agent)</t>
  </si>
  <si>
    <t>https://securityonionsolutions.com/</t>
  </si>
  <si>
    <t>NetworkMiner</t>
  </si>
  <si>
    <t>Network forensic analysis tool (NFAT): пассивный разбор PCAP с реконструкцией файлов, изображений, credentials, сертификатов, хостов из трафика. Удобен для быстрого извлечения артефактов из дампа без ручного анализа.</t>
  </si>
  <si>
    <t>NetworkMiner.exe; вывод: файлы, credentials, hosts, images из PCAP</t>
  </si>
  <si>
    <t>Network forensics, PCAP carving</t>
  </si>
  <si>
    <t>PCAP/PCAPNG файлы, live capture (Windows)</t>
  </si>
  <si>
    <t>https://www.netresec.com/?page=NetworkMiner</t>
  </si>
  <si>
    <t>IDA Free / IDA Pro</t>
  </si>
  <si>
    <t>Эталонный дизассемблер/декомпилятор для reverse engineering. IDA Free — бесплатная версия (x86/x64). IDA Pro — множество архитектур, Hex-Rays декомпилятор, IDAPython. Основная альтернатива/дополнение к Ghidra.</t>
  </si>
  <si>
    <t>ida.exe, ida64.exe, idat; IDAPython-скрипты</t>
  </si>
  <si>
    <t>Static malware analysis, RE</t>
  </si>
  <si>
    <t>PE/ELF/Mach-O binaries, shellcode, firmware</t>
  </si>
  <si>
    <t>https://hex-rays.com/ida-free</t>
  </si>
  <si>
    <t>x64dbg</t>
  </si>
  <si>
    <t>Открытый отладчик для Windows (x86/x64). Динамический анализ вредоносов: распаковка, трассировка, анализ API-вызовов. Плагины (Scylla, ScyllaHide). Бесплатная альтернатива OllyDbg/WinDbg для malware RE.</t>
  </si>
  <si>
    <t>x64dbg.exe, x32dbg.exe; плагины Scylla/ScyllaHide</t>
  </si>
  <si>
    <t>Dynamic analysis, unpacking, debugging</t>
  </si>
  <si>
    <t>PE-файлы, shellcode (динамический анализ)</t>
  </si>
  <si>
    <t>https://x64dbg.com/</t>
  </si>
  <si>
    <t>capa (Mandiant)</t>
  </si>
  <si>
    <t>Определяет возможности (capabilities) исполняемого файла без запуска: «injects code», «communicates over HTTP», «encrypts data» и т.д., с привязкой к MITRE ATT&amp;CK и MBC. Работает по правилам (capa-rules). Интегрируется с IDA/Ghidra.</t>
  </si>
  <si>
    <t>capa sample.exe; capa-rules; вывод с ATT&amp;CK/MBC-маппингом</t>
  </si>
  <si>
    <t>Static capability detection, ATT&amp;CK mapping</t>
  </si>
  <si>
    <t>PE/ELF/.NET/shellcode; статический анализ</t>
  </si>
  <si>
    <t>https://github.com/mandiant/capa</t>
  </si>
  <si>
    <t>REMnux / FLARE-VM</t>
  </si>
  <si>
    <t>Linux (REMnux) / Windows (FLARE-VM)</t>
  </si>
  <si>
    <t>Готовые дистрибутивы/сборки для анализа вредоносов. REMnux — Linux-тулкит (Lenny Zeltser) с сотнями инструментов. FLARE-VM (Mandiant) — Windows-окружение с IDA, x64dbg, PE-tools, деобфускаторами. Стандарт для RE-лаборатории.</t>
  </si>
  <si>
    <t>REMnux (Linux VM); FLARE-VM (Windows VM, install-скрипт)</t>
  </si>
  <si>
    <t>Malware analysis environment</t>
  </si>
  <si>
    <t>PE/ELF/Office/PDF/scripts — полное окружение для static+dynamic</t>
  </si>
  <si>
    <t>https://remnux.org/</t>
  </si>
  <si>
    <t>Паттерны в логах / артефакты</t>
  </si>
  <si>
    <t>Reverse-proxy домены (typosquat login-страниц); на endpoint почти нет артефактов; в M365/Azure AD — вход с нового device + session cookie (ESTSAUTH) без MFA-prompt</t>
  </si>
  <si>
    <t>Рассылка однотипных писем; landing-домены; клики на фишинговый URL из почты; child-процесс от OUTLOOK.EXE/браузера</t>
  </si>
  <si>
    <t>setoolkit; клонированные login-страницы; payload от browser/Office; часто связка с msfvenom-пайлоадом</t>
  </si>
  <si>
    <t>powershell.exe + Import-Module DSInternals; Get-ADReplAccount / Get-ADDBAccount; доступ к NTDS.dit или DCSync-трафик</t>
  </si>
  <si>
    <t>hack-browser-data.exe; создание results/*.csv; доступ к \Chrome\User Data\Local State + \Default\Login Data/Cookies</t>
  </si>
  <si>
    <t>hashcat.exe -m 13100/18200/1000; john; высокая нагрузка GPU (оффлайн — нет хостовых логов)</t>
  </si>
  <si>
    <t>secretsdump.py / wmiexec.py; создание служб с именами типа RemComSvc; доступ к ADMIN$/IPC$; DCSync (4662 с replication GUID)</t>
  </si>
  <si>
    <t>lazagne.exe all; доступ к файлам паролей браузеров, Wi-Fi, RDP, key3.db</t>
  </si>
  <si>
    <t>mimikatz.exe (часто переименован); sekurlsa::logonpasswords, lsadump::dcsync; доступ к lsass.exe (Sysmon 10); mimidrv.sys</t>
  </si>
  <si>
    <t>procdump.exe -ma lsass.exe lsass.dmp; создание файла *.dmp; доступ к lsass.exe с правами PROCESS_VM_READ</t>
  </si>
  <si>
    <t>pypykatz lsa minidump lsass.dmp (оффлайн-разбор дампа, без запуска на жертве)</t>
  </si>
  <si>
    <t>Rubeus.exe kerberoast/asreproast/ptt/tgtdeleg; 4769 с Enc=0x17 (RC4); 4768 без pre-auth</t>
  </si>
  <si>
    <t>ADRecon.ps1 / PingCastle.exe; массовые LDAP-запросы к DC; HTML-отчёты</t>
  </si>
  <si>
    <t>SharpHound.exe / .ps1; создание *.json/*.zip; всплеск LDAP + SMB-сессий (5145); 4662</t>
  </si>
  <si>
    <t>nmap.exe; всплеск SYN/connect на файрволе (5156/5157); NSE smb-*/ldap-*</t>
  </si>
  <si>
    <t>powershell.exe + Get-NetUser/Get-NetGroup/Invoke-ShareFinder/Find-LocalAdminAccess; 4104 ScriptBlock с именами функций</t>
  </si>
  <si>
    <t>powershell.exe + Invoke-AllChecks/Get-ModifiableServiceFile; 4104 ScriptBlock; доступ к бинарям служб (4656/4663)</t>
  </si>
  <si>
    <t>Seatbelt.exe -group=all; часто in-memory через execute-assembly (без файла на диске); 4104-обёртка</t>
  </si>
  <si>
    <t>SharpUp.exe audit; in-memory через execute-assembly; доступ к бинарям служб</t>
  </si>
  <si>
    <t>SharpView.exe Get-Domain*; всплеск LDAP-запросов к DC (4662); in-memory исполнение</t>
  </si>
  <si>
    <t>Доступ к пайпам lsarpc/efsrpc/spoolss (5145); 4624 LT=3 от учётки машины (имя$); coercion к подконтрольному хосту</t>
  </si>
  <si>
    <t>Responder.py; отравление LLMNR (UDP 5355) / NBT-NS (137); перехвач NetNTLMv2; 4624 LT=3, 4776</t>
  </si>
  <si>
    <t>rogue DHCPv6 (всплеск DHCPv6 в сети); подмена WPAD/DNS; часто в связке с ntlmrelayx</t>
  </si>
  <si>
    <t>ntlmrelayx.py -t ldap://DC --escalate-user/--delegate-access; relay → 4662 (DCSync) / 4768 (ADCS-сертификат); 4624 LT=3</t>
  </si>
  <si>
    <t>Certify.exe find /vulnerable; request; 4886/4887 (выпуск сертификата); 4768 PKINIT; in-memory через execute-assembly</t>
  </si>
  <si>
    <t>certipy find/req/auth; .pfx-файлы; 4886/4887; 4768 PKINIT TGT по сертификату; ESC1-ESC8</t>
  </si>
  <si>
    <t>kerbrute userenum/passwordspray; 4768 (TGT запросы), всплеск 4771 (pre-auth fail); при enum 4625 НЕ генерируется</t>
  </si>
  <si>
    <t>cme/nxc/crackmapexec; массовые 4624/4625 LT=3 по хостам; 5140 (шары); 4697 с произвольными именами служб</t>
  </si>
  <si>
    <t>evil-winrm; порт 5985/5986; 4624 LT=3, wsmprovhost.exe (4688), 4103/4104, WinRM 91</t>
  </si>
  <si>
    <t>paexec.exe / smbexec.py / wmiexec.py; службы PAEXEC/BTOBTO; 7045/4697; 5140 (ADMIN$); 4624 LT=3</t>
  </si>
  <si>
    <t>psexec.exe/PSEXESVC.exe; 7045 с ImagePath=PSEXESVC; ADMIN$/IPC$ (5140); 4624 LT=3; названия пайпов PSEXESVC</t>
  </si>
  <si>
    <t>замена sethc.exe/utilman.exe на cmd.exe; Image File Execution Options (4657); rdpwrap.dll; 4663 по sethc.exe</t>
  </si>
  <si>
    <t>agent.exe (Temp/ProgramData); исходящий TLS на C2 (5156); виртуальный tun-интерфейс; долгие TLS-сессии</t>
  </si>
  <si>
    <t>Extender-агенты (gopher.exe и др.); named pipes в lateral; HTTP/SMB/TCP-listeners; beaconing с jitter; malleable-профили</t>
  </si>
  <si>
    <t>badger.dll/exe; инъекция в LSASS/браузеры; Sysmon 8/10; 5156 на нестандартные порты</t>
  </si>
  <si>
    <t>rundll32 с named pipes msagent_*/postex_*/MSSE-*; beacon.exe; beaconing-интервалы + jitter; Sysmon 17/18 (pipes); 5156 HTTPS</t>
  </si>
  <si>
    <t>empire-агент; powershell.exe с base64/encoded; 4104 (Encoded); 4103 (Module)</t>
  </si>
  <si>
    <t>havoc/mythic агенты (Apollo/Athena/Poseidon); Sysmon 1/3/7; named pipes; HTTPS/DNS C2</t>
  </si>
  <si>
    <t>msfconsole/msfvenom; meterpreter (впрыск в память); Sysmon 8 (CreateRemoteThread); 5156</t>
  </si>
  <si>
    <t>sliver-implant с рандомными именами; mTLS/HTTP/DNS C2; 4688 (агент в Temp/AppData); named pipes (Sysmon 17/18); beaconing</t>
  </si>
  <si>
    <t>mimikatz kerberos::golden / rubeus asktgt; аномальные 4769 (TGS без предшествующего 4768); 4624 от несуществующего юзера</t>
  </si>
  <si>
    <t>SharPersist.exe; создание schtask (4698)/registry Run (4657)/startup; 4688</t>
  </si>
  <si>
    <t>Sliver при persistence → service/scheduled task (7045/4697/4698); рандомные имена</t>
  </si>
  <si>
    <t>загрузка уязвимого драйвера: RTCore64.sys/mhyprot2.sys/gdrv.sys; 7045 (драйвер-служба); 4697; Sysmon 6 (driver load); CodeIntegrity 3077</t>
  </si>
  <si>
    <t>in-memory shellcode (нет файла на диске); Sysmon 8/10/25; AMSI bypass; дефолт в Cobalt/Sliver</t>
  </si>
  <si>
    <t>gmer.exe/pchunter.exe; инъекция в ядро; драйвер-службы (7045); отключение EDR</t>
  </si>
  <si>
    <t>powershell.exe с обфусцированными командами (Base64/char-codes/string-join); 4104 (виден деобфусцированный код); высокая энтропия</t>
  </si>
  <si>
    <t>rclone.exe (rclone.conf в AppData); MEGAclient.exe; 4688 с mega:/dropbox: параметрами; Sysmon 22 (DNS к mega.nz)</t>
  </si>
  <si>
    <t>rar.exe/7z.exe -hp (пароль) -v100m (тома); 4688 CommandLine с -hp/-r/-m5/-v100m; большие .rar/.7z в Temp</t>
  </si>
  <si>
    <t>ngrok.exe/chisel.exe/AnyDesk.exe (в ProgramData/Temp, НЕ Program Files); 5156 к *.ngrok.io/*.tunnel; portable-имена</t>
  </si>
  <si>
    <t>случайные .exe в ProgramData/Temp; ransom note (HOW_TO_DECRYPT.txt); расширения .lockbit/.royal; vssadmin delete shadows + bcdedit + wbadmin</t>
  </si>
  <si>
    <t>ProcessHacker.exe/pchunter.exe/kavremover.exe; sc stop для служб AV; 4689 (остановка AV); 7036</t>
  </si>
  <si>
    <t>powershell.exe -nop -w hidden -enc &lt;base64&gt;; -ExecutionPolicy Bypass; IEX (New-Object Net.WebClient).DownloadString; 4104/4103</t>
  </si>
  <si>
    <t>certutil -urlcache -split -f http://...; bitsadmin /transfer; curl.exe -o; 4688 с -urlcache/-transfer/http; BITS 59</t>
  </si>
  <si>
    <t>MSBuild.exe payload.csproj/.xml; installutil /U; dotnet.exe path\malicious.dll; 4688 с .xml/.csproj/.dll; AMSI bypass</t>
  </si>
  <si>
    <t>rundll32.exe url.dll,OpenURL; regsvr32 /s /n /u /i:http://...; mshta.exe http://... / vbscript:...; 4688 без параметров или с URL</t>
  </si>
  <si>
    <t>wmic process call create; schtasks /create /tn ... /tr ...; at \\HOST; 4688; 4698 (задача); 5861 (WMI)</t>
  </si>
  <si>
    <t>Входы/выходы: 4624, 4625, 4634, 4647, 4648, 4672, 4768, 4769, 4776, 4778, 4779, 4740, 4767, 4964, 5379. Критичные события аутентификации + вход Special Groups и чтение Credential Manager.</t>
  </si>
  <si>
    <t>16 соб.</t>
  </si>
  <si>
    <t>Управление учётками и группами: 4720, 4722, 4724, 4725, 4726, 4728, 4729, 4732, 4738, 4740, 4756 + 7045 (новая служба). Ключевое для поиска backdoor-аккаунтов и persistence.</t>
  </si>
  <si>
    <t>Процессы и задачи: 4688, 4689, 4697, 4698, 4699, 4702 + WMI (5857/5861), AppLocker (8003/8004), WDAC/CodeIntegrity (3076/3077), TxF (4985). База для детекта execution и persistence.</t>
  </si>
  <si>
    <t>Системные и сетевые: 1102, 4608, 4616, 4946, 4947, 5157, 4673 + BITS (59), WinRM (91/168). Detect: сокрытие следов, firewall, удалённое выполнение.</t>
  </si>
  <si>
    <t>12 соб.</t>
  </si>
  <si>
    <t>AD/домен-специфика (21 событие): Kerberos 4768/4769/4771/4649, DCSync и объекты 4662/5136/5137/5138, учётки компьютеров 4741/4742/4743, доверия 4706/4707, политики 4764/4739/4713/4781, DSRM 4794, CA 4897, разведка 4798/4799.</t>
  </si>
  <si>
    <t>Microsoft Defender (15 событий): детекты 1116/1117/1118/1119/1006/1015, tampering 5001/5007/5010/5012/5004, восстановление 1009, сбой движка 5008, очистка истории 1013. Defense Evasion и антифорензика.</t>
  </si>
  <si>
    <t>15 соб.</t>
  </si>
  <si>
    <t>SOC, blue team</t>
  </si>
  <si>
    <t>Сводные реестры</t>
  </si>
  <si>
    <t>Полный реестр событий Windows — 144 события в одной таблице с расширенными колонками: индикаторы атаки, False Positive, MITRE TTP, ключевые поля, SPL-шаблоны (Splunk), корреляции, ссылки на документацию Microsoft. Главный справочный лист книги.</t>
  </si>
  <si>
    <t>144 соб.</t>
  </si>
  <si>
    <t>SOC, hunting, IR</t>
  </si>
  <si>
    <t>Сокращённая выжимка самых частых событий, встречающихся практически в каждом инциденте. Те же колонки, что в WinEvents_ALL, но только топовые Event ID — быстрый старт для L1-аналитика.</t>
  </si>
  <si>
    <t>SOC L1, обучение</t>
  </si>
  <si>
    <t>Криминалистика и расследования</t>
  </si>
  <si>
    <t>Связки событий (storylines) — типовые цепочки атак по MITRE ATT&amp;CK / Cyber Kill Chain: brute-force, Kerberoasting, DCSync, lateral movement, ransomware и др. Сводная таблица + пошаговая детализация каждой цепочки с Event ID и IoC.</t>
  </si>
  <si>
    <t>цепочки</t>
  </si>
  <si>
    <t>Threat hunting, IR</t>
  </si>
  <si>
    <t>Криминалистические артефакты Windows: реестр (Run, ShimCache, AmCache), prefetch, $MFT, journal, event-логи, браузер, LNK/Jump Lists. Расположение, инструмент анализа и пример применения в расследовании.</t>
  </si>
  <si>
    <t>45 арт.</t>
  </si>
  <si>
    <t>DFIR, форензика</t>
  </si>
  <si>
    <t>События безопасности Linux: Sysmon for Linux (eBPF), auditd (EXECVE/SYSCALL), journald, PAM, SSH, sudo, cron, systemd. Индикаторы атак, CLI-команды проверки (journalctl/ausearch), MITRE TTP и SPL-шаблоны.</t>
  </si>
  <si>
    <t>29 стр.</t>
  </si>
  <si>
    <t>SOC, IR (Linux)</t>
  </si>
  <si>
    <t>Инструменты</t>
  </si>
  <si>
    <t>Справочник red team / APT-инструментов: Evilginx, Cobalt Strike, Mimikatz, Rubeus, BloodHound и др. Имена процессов/файлов, MITRE TTP, связанные Event ID, паттерны в логах и ссылки на источник.</t>
  </si>
  <si>
    <t>57 инстр.</t>
  </si>
  <si>
    <t>Red/Blue team, IR</t>
  </si>
  <si>
    <t>Каталог Blue Team / DFIR / SOC-инструментов: EDR/XDR (CrowdStrike, Elastic), SIEM, memory и endpoint forensics, network detection, threat hunting, IR-утилиты. Зеркальная структура к листу инструментов атакующих.</t>
  </si>
  <si>
    <t>104 инстр.</t>
  </si>
  <si>
    <t>Blue team, SOC, DFIR</t>
  </si>
  <si>
    <t>Справочники</t>
  </si>
  <si>
    <t>Справочник типов входа (Logon Type 2-13): Interactive, Network, Batch, Service, RemoteInteractive (RDP) и др. Описание, типичный источник и пример для каждого. Расшифровка поля Logon Type в 4624/4625.</t>
  </si>
  <si>
    <t>11 тип.</t>
  </si>
  <si>
    <t>SOC L1-L2</t>
  </si>
  <si>
    <t>Коды причин отказа для события 4625 (Sub_Status): 0xC0000064 (нет пользователя), 0xC000006A (неверный пароль), 0xC0000234 (локаут) и др. Помогает отличать brute-force от password spraying.</t>
  </si>
  <si>
    <t>11 код.</t>
  </si>
  <si>
    <t>Полный справочник NTSTATUS/кодов ошибок (64 кода): hex + десятичный, название, категория, описание, типичные события, значение для SOC и рекомендации. Расширяет Error_4625 на все события.</t>
  </si>
  <si>
    <t>64 код.</t>
  </si>
  <si>
    <t>Легенда колонок для таблиц WinEvents_ALL и Error_ALL: назначение и описание каждой колонки. Помогает новым пользователям быстро сориентироваться в структуре справочника.</t>
  </si>
  <si>
    <t>легенда</t>
  </si>
  <si>
    <t>Все пользователи</t>
  </si>
  <si>
    <t>Этот файл — рабочий справочник для SOC-аналитика, threat hunterа и IR-инженера. 21 лист, сгруппированных по блокам: события Windows по функциональным группам (входы, управление учётками, процессы, аудит, discovery, сеть, RDP, Sysmon, Active Directory, Defender), полный реестр Event ID (144 события), криминалистические артефакты, storyline-цепочки атак по MITRE ATT&amp;CK, инструменты атакующих и защитников, Linux audit/journald-события, справочники по LogonType и NTSTATUS-кодам.</t>
  </si>
  <si>
    <t>СПРАВОЧНИК СОБЫТИЙ WINDOWS/LINUX И МОНИТОРИНГА АТАК</t>
  </si>
  <si>
    <t>Оценка критичности события с точки зрения обнаружения кибератак. Основана на потенциале события быть индикатором компрометации.
⚠ Это BASELINE — базовая оценка, которую НЕОБХОДИМО калибровать под свою инфраструктуру. Важность одного и того же Event ID сильно зависит от роли хоста (DC вс. рабочая станция), критичности активов, принятых baseline и контекста (одиночное событие вс. паттерн/корреляция).
Принципы шкалы:
• «Критическая» резервируется за событиями, которые почти всегда означают компрометацию или сокрытие следов (очистка/остановка журналов, отключение защиты, WMI-persistence, доступ к хешам).
• Шумные высокочастотные события (4624, 4768/4769, 5140) базово «Средние/Низкие» и повышаются только в корреляции (см. колонку «Корреляции»).
• Целевое распределение — «пирамида» (мало критических, основная масса в Средней/Низкой), а не преобладание «Высоких» — иначе возникает alert fatigue.</t>
  </si>
  <si>
    <t>WATCH ~/.bashrc /etc/profile.d</t>
  </si>
  <si>
    <t>auditd (watch)</t>
  </si>
  <si>
    <t>Backdoor в shell-профилях (.bashrc, .bash_profile, /etc/profile.d)</t>
  </si>
  <si>
    <t>Атакующий дописывает команды (reverse shell, curl|bash) в файлы инициализации shell — срабатывает при каждом входе/открытии терминала. Требует watch-правило auditd на эти пути.</t>
  </si>
  <si>
    <t>• Добавление curl/wget/nc/bash -i в .bashrc
• Изменение профиля не владельцем файла
• base64/eval в файлах профиля
• Запись в /etc/profile.d/*.sh от не-root admin</t>
  </si>
  <si>
    <t>▸ Изменения файлов профиля
$ ausearch -k profile_change --start today
▸ Подозрительные строки
$ grep -RniE "curl|wget|nc |bash -i|/dev/tcp" ~/.bashrc /etc/profile.d/
▸ Недавно изменённые
$ find /home /etc/profile.d -name ".bashrc" -o -name "*.sh" -mtime -7</t>
  </si>
  <si>
    <t>• Persistence после initial access
• Легитимная настройка окружения (alias, PATH)
• DevOps-скрипты</t>
  </si>
  <si>
    <t>T1546.004</t>
  </si>
  <si>
    <t>EXECVE (curl/wget при срабатывании)
USER_LOGIN (триггер)</t>
  </si>
  <si>
    <t>index=linux key=profile_change
| stats count by host, name, uid
| where uid!=0</t>
  </si>
  <si>
    <t>name, uid, auid, key, nametype</t>
  </si>
  <si>
    <t>https://attack.mitre.org/techniques/T1546/004/</t>
  </si>
  <si>
    <t>WATCH authorized_keys</t>
  </si>
  <si>
    <t>Добавление SSH-ключа атакующего (~/.ssh/authorized_keys)</t>
  </si>
  <si>
    <t>Атакующий дописывает свой публичный ключ в authorized_keys — получает постоянный беспарольный доступ по SSH. Один из самых частых способов закрепления.</t>
  </si>
  <si>
    <t>• Новый ключ в authorized_keys вне процесса provisioning
• Ключ с неизвестным comment/email
• Создание ~/.ssh для сервисной УЗ (postgres, www-data)
• chmod 600 сразу после записи</t>
  </si>
  <si>
    <t>▸ Изменения authorized_keys
$ ausearch -k ssh_keys --start today
▸ Все ключи в системе
$ find / -name authorized_keys 2&gt;/dev/null -exec ls -la {} \;
▸ Недавно изменённые
$ find /home /root -path "*/.ssh/authorized_keys" -mtime -7</t>
  </si>
  <si>
    <t>• Persistence через SSH
• Легитимный деплой/Ansible
• Ротация ключей</t>
  </si>
  <si>
    <t>T1098.004</t>
  </si>
  <si>
    <t>sshd Accepted publickey (последующий вход)
USER_LOGIN</t>
  </si>
  <si>
    <t>index=linux key=ssh_keys
| stats count by host, name, uid, auid</t>
  </si>
  <si>
    <t>https://attack.mitre.org/techniques/T1098/004/</t>
  </si>
  <si>
    <t>systemd timer / at</t>
  </si>
  <si>
    <t>auditd + journald</t>
  </si>
  <si>
    <t>Создание systemd-timer или at-задания</t>
  </si>
  <si>
    <t>Альтернатива cron для закрепления: .timer+.service юниты или одноразовые at-задания. Часто пропускается, т.к. мониторят только cron.</t>
  </si>
  <si>
    <t>• Новый .timer в /etc/systemd/system или ~/.config/systemd/user
• at-задание с reverse shell
• Timer с OnBootSec/OnUnitActiveSec и подозрительным ExecStart
• systemctl enable неизвестного юнита</t>
  </si>
  <si>
    <t>▸ Все таймеры
$ systemctl list-timers --all
▸ at-очередь
$ atq; ls -la /var/spool/cron/atjobs/
▸ Недавно созданные юниты
$ find /etc/systemd /run/systemd ~/.config/systemd -name "*.timer" -o -name "*.service" -mtime -7</t>
  </si>
  <si>
    <t>• Persistence/расписание задач
• Легитимные системные таймеры
• Обслуживание ОС</t>
  </si>
  <si>
    <t>T1053.003, T1053.006</t>
  </si>
  <si>
    <t>EXECVE (при срабатывании)
cron WATCH</t>
  </si>
  <si>
    <t>index=linux (key=systemd_unit OR type=SERVICE_START)
| stats count by host, unit, auid</t>
  </si>
  <si>
    <t>unit, name, auid, exe, key</t>
  </si>
  <si>
    <t>https://attack.mitre.org/techniques/T1053/006/</t>
  </si>
  <si>
    <t>WATCH PAM (pam.d / pam_*.so)</t>
  </si>
  <si>
    <t>PAM-backdoor: подмена модуля или pam_unix</t>
  </si>
  <si>
    <t>Атакующий подменяет pam_unix.so или добавляет вредоносный PAM-модуль — перехват паролей и универсальный пароль (skeleton key).</t>
  </si>
  <si>
    <t>• Изменение /lib*/security/pam_*.so
• Правка /etc/pam.d/* (добавление pam_exec с подозрительным скриптом)
• Несовпадение хеша/размера pam_unix.so с пакетом
• strings в pam_unix.so с хардкод-паролем</t>
  </si>
  <si>
    <t>▸ Изменения PAM
$ ausearch -k pam_change --start today
▸ Целостность модулей (Debian/RHEL)
$ dpkg -V libpam-modules; rpm -V pam
▸ Недавние правки
$ find /etc/pam.d /lib*/security -mtime -7 -ls</t>
  </si>
  <si>
    <t>• Credential theft / backdoor
• Обновление пакета pam (легитимно)
• Настройка MFA</t>
  </si>
  <si>
    <t>T1556.003</t>
  </si>
  <si>
    <t>USER_AUTH / USER_LOGIN (подозрительный успех)
CONFIG_CHANGE</t>
  </si>
  <si>
    <t>index=linux key=pam_change
| stats count by host, name, auid, key</t>
  </si>
  <si>
    <t>name, auid, key, nametype</t>
  </si>
  <si>
    <t>https://attack.mitre.org/techniques/T1556/003/</t>
  </si>
  <si>
    <t>WATCH /etc/update-motd.d</t>
  </si>
  <si>
    <t>MOTD-backdoor (динамические скрипты motd)</t>
  </si>
  <si>
    <t>Скрипты в /etc/update-motd.d выполняются от root при каждом SSH-входе — идеальное место для закрепления с эскалацией привилегий.</t>
  </si>
  <si>
    <t>• Новый/изменённый файл в /etc/update-motd.d
• Команды сети/загрузки в motd-скриптах
• chmod +x на новый motd-файл</t>
  </si>
  <si>
    <t>▸ Изменения motd
$ ausearch -k motd_change --start today
▸ Содержимое
$ ls -la /etc/update-motd.d/
$ grep -RniE "curl|wget|bash -i|/dev/tcp" /etc/update-motd.d/</t>
  </si>
  <si>
    <t>• Persistence + privesc
• Легитимные баннеры системы</t>
  </si>
  <si>
    <t>T1546</t>
  </si>
  <si>
    <t>sshd Accepted (триггер)
EXECVE от root</t>
  </si>
  <si>
    <t>index=linux key=motd_change
| stats count by host, name, auid</t>
  </si>
  <si>
    <t>https://attack.mitre.org/techniques/T1546/</t>
  </si>
  <si>
    <t>Log clearing (truncate / history)</t>
  </si>
  <si>
    <t>Очистка логов и истории (truncate /var/log, history -c, unset HISTFILE)</t>
  </si>
  <si>
    <t>Анти-форензика: атакующий затирает /var/log/*, очищает bash-историю или отключает её запись, чтобы скрыть следы.</t>
  </si>
  <si>
    <t>• truncate -s0 / rm /var/log/{auth,secure,syslog}
• history -c; rm ~/.bash_history
• unset HISTFILE или export HISTSIZE=0
• ln -sf /dev/null ~/.bash_history
• Резкое падение объёма логов</t>
  </si>
  <si>
    <t>▸ Удаление/изменение логов
$ ausearch -k log_tamper --start today
▸ EXECVE с truncate/shred/history
$ ausearch -m EXECVE | grep -E "truncate|shred|history -c"
▸ Симлинки на /dev/null
$ find /home /root -name .bash_history -lname /dev/null</t>
  </si>
  <si>
    <t>• Сокрытие следов после атаки
• Ротация логов (logrotate — легитимно)</t>
  </si>
  <si>
    <t>T1070.002, T1070.003</t>
  </si>
  <si>
    <t>DAEMON_END (остановка auditd)
CONFIG_CHANGE</t>
  </si>
  <si>
    <t>index=linux type=EXECVE (cmd=*truncate* OR cmd=*shred* OR cmd=*\"history -c\"*)
| stats count by host, auid</t>
  </si>
  <si>
    <t>exe, a0..a3, auid, key</t>
  </si>
  <si>
    <t>https://attack.mitre.org/techniques/T1070/</t>
  </si>
  <si>
    <t>LD_PRELOAD / ld.so.preload</t>
  </si>
  <si>
    <t>auditd (watch + EXECVE)</t>
  </si>
  <si>
    <t>Userland-rootkit через LD_PRELOAD и /etc/ld.so.preload</t>
  </si>
  <si>
    <t>Подмена библиотек через переменную LD_PRELOAD или файл /etc/ld.so.preload — перехват вызовов (скрытие процессов/файлов, кража creds).</t>
  </si>
  <si>
    <t>• Непустой /etc/ld.so.preload
• EXECVE с LD_PRELOAD=/tmp/*.so
• .so в /tmp, /dev/shm, /var/tmp
• Неподписанные/неизвестные .so в прелоаде</t>
  </si>
  <si>
    <t>▸ Глобальный прелоад
$ cat /etc/ld.so.preload 2&gt;/dev/null
$ ausearch -k preload --start today
▸ Процессы с LD_PRELOAD
$ for p in /proc/[0-9]*; do tr '\0' '\n' &lt; $p/environ 2&gt;/dev/null | grep LD_PRELOAD &amp;&amp; echo $p; done
▸ Подозрительные .so
$ ls -la /tmp /dev/shm /var/tmp | grep '\.so'</t>
  </si>
  <si>
    <t>• Rootkit / сокрытие
• APM/отладочные библиотеки (редко, легитимно)</t>
  </si>
  <si>
    <t>T1574.006</t>
  </si>
  <si>
    <t>EXECVE (переменная окружения)
init_module (если с LKM)</t>
  </si>
  <si>
    <t>index=linux key=preload OR (type=EXECVE cmd=*LD_PRELOAD*)
| stats count by host, auid, exe</t>
  </si>
  <si>
    <t>name, exe, auid, key</t>
  </si>
  <si>
    <t>https://attack.mitre.org/techniques/T1574/006/</t>
  </si>
  <si>
    <t>chattr +i (immutable)</t>
  </si>
  <si>
    <t>auditd (EXECVE)</t>
  </si>
  <si>
    <t>Установка immutable-флага на вредоносные файлы</t>
  </si>
  <si>
    <t>Атакующий ставит chattr +i на backdoor/ключи, чтобы их нельзя было удалить даже от root без снятия флага.</t>
  </si>
  <si>
    <t>• EXECVE с chattr +i
• Файлы с флагом i в ~/.ssh, /etc, /tmp
• Невозможность удалить файл от root</t>
  </si>
  <si>
    <t>▸ immutable-файлы
$ lsattr -R /etc /root /home 2&gt;/dev/null | grep -- '----i'
▸ Использование chattr
$ ausearch -m EXECVE | grep chattr</t>
  </si>
  <si>
    <t>• Защита backdoor от удаления
• Защита конфигов (редко, легитимно)</t>
  </si>
  <si>
    <t>T1222.002</t>
  </si>
  <si>
    <t>EXECVE
WATCH соответствующих файлов</t>
  </si>
  <si>
    <t>index=linux type=EXECVE cmd=*chattr*
| stats count by host, auid, cmd</t>
  </si>
  <si>
    <t>exe, a0..a3, auid</t>
  </si>
  <si>
    <t>https://attack.mitre.org/techniques/T1222/002/</t>
  </si>
  <si>
    <t>Rootkit / process hiding (/proc)</t>
  </si>
  <si>
    <t>auditd + Sysmon4Linux</t>
  </si>
  <si>
    <t>Сокрытие процессов/файлов (LKM- или userland-rootkit, /proc tampering)</t>
  </si>
  <si>
    <t>Rootkit прячет PID, порты и файлы от штатных утилит. Выявляется расхождением между ps и /proc или ss и /proc/net.</t>
  </si>
  <si>
    <t>• PID в /proc, но нет в ps
• Порт слушается, но не виден в ss/netstat
• init_module без известного пакета
• Скрытые файлы при сравнении ls и inode</t>
  </si>
  <si>
    <t>▸ Скрытые PID (ps vs /proc)
$ for p in /proc/[0-9]*; do pid=${p#/proc/}; ps -p $pid &gt;/dev/null || echo "HIDDEN: $pid"; done
▸ Скрытые порты
$ diff &lt;(ss -ltnp) &lt;(cat /proc/net/tcp)
▸ Модули ядра
$ lsmod; cat /proc/modules</t>
  </si>
  <si>
    <t>• Rootkit / глубокое сокрытие
• Ложные срабатывания при гонках PID (редко)</t>
  </si>
  <si>
    <t>T1014</t>
  </si>
  <si>
    <t>init_module / finit_module
ANOM-события</t>
  </si>
  <si>
    <t>index=linux type=*module* OR key=kernel_module
| stats count by host, exe, auid</t>
  </si>
  <si>
    <t>name, exe, auid, syscall</t>
  </si>
  <si>
    <t>https://attack.mitre.org/techniques/T1014/</t>
  </si>
  <si>
    <t>SUID abuse / GTFOBins</t>
  </si>
  <si>
    <t>Эксплуатация SUID-бинарников (GTFOBins)</t>
  </si>
  <si>
    <t>Использование SUID-бинарников (find, vim, awk, nmap и др.) для выполнения команд от root. Классика privesc по GTFOBins.</t>
  </si>
  <si>
    <t>• SUID-бинарник запускает shell/команду (find ... -exec, vim -c)
• Новый SUID-файл вне стандартного набора
• EXECVE с uid!=0, но euid=0
• Нетипичные аргументы GTFOBins</t>
  </si>
  <si>
    <t>▸ Все SUID-бинарники
$ find / -perm -4000 -type f 2&gt;/dev/null
▸ Сравнить с baseline GTFOBins
$ ausearch -m EXECVE | grep -E "find|vim|awk|nmap|tar|less" 
▸ Новые SUID
$ find / -perm -4000 -mtime -7 2&gt;/dev/null</t>
  </si>
  <si>
    <t>• Local privilege escalation
• Легитимные SUID (passwd, sudo, ping)</t>
  </si>
  <si>
    <t>T1548.001</t>
  </si>
  <si>
    <t>USER_CMD (sudo)
CAPSET</t>
  </si>
  <si>
    <t>index=linux type=EXECVE uid!=0 euid=0
| stats count by host, exe, auid</t>
  </si>
  <si>
    <t>exe, uid, euid, auid, a0..a3</t>
  </si>
  <si>
    <t>https://gtfobins.github.io/</t>
  </si>
  <si>
    <t>ptrace injection</t>
  </si>
  <si>
    <t>Инъекция в процесс через ptrace (PTRACE_ATTACH)</t>
  </si>
  <si>
    <t>Атакующий присоединяется к чужому процессу и внедряет код (shellcode/.so) — выполнение в контексте доверенного процесса.</t>
  </si>
  <si>
    <t>• SYSCALL ptrace с PTRACE_ATTACH/POKETEXT
• Инъекция в системные процессы (sshd, systemd)
• ptrace от процесса, который не отладчик
• /proc/sys/kernel/yama/ptrace_scope = 0</t>
  </si>
  <si>
    <t>▸ Вызовы ptrace
$ ausearch -m SYSCALL -sc ptrace --start today
▸ yama-политика
$ cat /proc/sys/kernel/yama/ptrace_scope
▸ Правило auditd
# -a always,exit -F arch=b64 -S ptrace -k ptrace_inject</t>
  </si>
  <si>
    <t>• Process injection / privesc
• Отладчики (gdb, strace — легитимно)</t>
  </si>
  <si>
    <t>T1055.008, T1055.009</t>
  </si>
  <si>
    <t>EXECVE (gdb/inject-tool)
SYSCALL</t>
  </si>
  <si>
    <t>index=linux type=SYSCALL syscall=ptrace
| stats count by host, exe, auid, a0</t>
  </si>
  <si>
    <t>syscall, exe, auid, a0 (request), pid, ppid</t>
  </si>
  <si>
    <t>https://attack.mitre.org/techniques/T1055/008/</t>
  </si>
  <si>
    <t>Execution / Evasion</t>
  </si>
  <si>
    <t>eBPF / bpf() backdoor</t>
  </si>
  <si>
    <t>Злоупотребление eBPF (bpf() syscall) для backdoor/rootkit</t>
  </si>
  <si>
    <t>Современные rootkit (BPFDoor, Symbiote) используют eBPF для скрытого перехвата трафика и magic-пакетов без открытых портов.</t>
  </si>
  <si>
    <t>• bpf() от нетипичных процессов (не systemd/cilium)
• Загрузка BPF-программы без CAP_BPF обоснования
• BPF + raw socket
• Процесс без порта, но реагирует на трафик</t>
  </si>
  <si>
    <t>▸ Вызовы bpf()
$ ausearch -m SYSCALL -sc bpf --start today
▸ Загруженные BPF-программы
$ bpftool prog show; bpftool perf show
▸ Правило auditd
# -a always,exit -F arch=b64 -S bpf -k ebpf_use</t>
  </si>
  <si>
    <t>• Скрытый backdoor (BPFDoor)
• Наблюдаемость/сеть (Cilium, Falco — легитимно)</t>
  </si>
  <si>
    <t>T1205.002, T1014</t>
  </si>
  <si>
    <t>SOCKADDR (raw socket)
EXECVE</t>
  </si>
  <si>
    <t>index=linux type=SYSCALL syscall=bpf
| stats count by host, exe, auid</t>
  </si>
  <si>
    <t>syscall, exe, auid, a0 (cmd)</t>
  </si>
  <si>
    <t>https://attack.mitre.org/techniques/T1205/002/</t>
  </si>
  <si>
    <t>Command &amp; Control</t>
  </si>
  <si>
    <t>Ingress tool transfer (wget/curl)</t>
  </si>
  <si>
    <t>Загрузка payload в /tmp или /dev/shm (wget/curl/scp)</t>
  </si>
  <si>
    <t>Атакующий скачивает вторую ступень/инструменты в записываемые каталоги. /dev/shm особенно опасен — исполнение в памяти без следа на диске.</t>
  </si>
  <si>
    <t>• wget/curl в /tmp, /dev/shm, /var/tmp
• Скачивание с raw IP или pastebin
• curl ... | bash (бесфайлово)
• chmod +x сразу после загрузки</t>
  </si>
  <si>
    <t>▸ Скачивания
$ ausearch -m EXECVE | grep -E "wget|curl|scp|tftp"
▸ Исполняемое в tmpfs
$ find /tmp /dev/shm /var/tmp -type f -executable -mtime -1
▸ Процессы из /dev/shm
$ ls -la /proc/*/exe 2&gt;/dev/null | grep -E "/tmp|/dev/shm"</t>
  </si>
  <si>
    <t>• Доставка payload
• Легитимные загрузки (apt, pip, деплой)</t>
  </si>
  <si>
    <t>T1105</t>
  </si>
  <si>
    <t>SOCKADDR (исходящее соединение)
EXECVE последующего payload</t>
  </si>
  <si>
    <t>index=linux type=EXECVE (cmd=*wget* OR cmd=*curl*) (cmd=*/tmp* OR cmd=*/dev/shm*)
| stats count by host, auid, cmd</t>
  </si>
  <si>
    <t>exe, a0..a3, auid, cwd</t>
  </si>
  <si>
    <t>https://attack.mitre.org/techniques/T1105/</t>
  </si>
  <si>
    <t>WATCH /etc/shadow</t>
  </si>
  <si>
    <t>Чтение /etc/shadow (кража хешей паролей)</t>
  </si>
  <si>
    <t>Прямой доступ к /etc/shadow для извлечения хешей под offline-brute (hashcat/john). Требует watch-правило.</t>
  </si>
  <si>
    <t>• Чтение /etc/shadow не процессом аутентификации
• cat/cp/less /etc/shadow
• Копирование shadow в доступное место
• Доступ от не-root процесса</t>
  </si>
  <si>
    <t>▸ Доступ к shadow
$ ausearch -k shadow_access --start today
▸ Правило auditd
# -w /etc/shadow -p r -k shadow_access
▸ Копии shadow
$ find / -name "shadow*" 2&gt;/dev/null ! -path "/etc/*"</t>
  </si>
  <si>
    <t>• Кража учётных данных
• Бэкап/миграция (легитимно, редко)</t>
  </si>
  <si>
    <t>T1003.008</t>
  </si>
  <si>
    <t>EXECVE (cat/cp)
USER_CMD (sudo cat)</t>
  </si>
  <si>
    <t>index=linux key=shadow_access
| stats count by host, exe, auid, comm</t>
  </si>
  <si>
    <t>name, exe, auid, comm, key</t>
  </si>
  <si>
    <t>https://attack.mitre.org/techniques/T1003/008/</t>
  </si>
  <si>
    <t>unshare / nsenter (container escape)</t>
  </si>
  <si>
    <t>auditd (SYSCALL/EXECVE)</t>
  </si>
  <si>
    <t>Манипуляции namespace (unshare/nsenter) и побег из контейнера</t>
  </si>
  <si>
    <t>Атакующий использует unshare/nsenter или монтирование host-ФС для выхода из контейнера на хост.</t>
  </si>
  <si>
    <t>• nsenter -t 1 -m -u -i -n (выход в PID 1 host)
• unshare с последующим chroot
• Монтирование host-путей внутрь контейнера
• Привилегированный контейнер + CAP_SYS_ADMIN</t>
  </si>
  <si>
    <t>▸ Использование nsenter/unshare
$ ausearch -m EXECVE | grep -E "nsenter|unshare"
▸ Привилегированные контейнеры
$ docker ps --quiet | xargs docker inspect --format '{{.Name}} {{.HostConfig.Privileged}}'</t>
  </si>
  <si>
    <t>• Container escape
• Администрирование намеспейсов (редко, легитимно)</t>
  </si>
  <si>
    <t>T1611</t>
  </si>
  <si>
    <t>docker exec / runc (см. выше)
docker.sock WATCH</t>
  </si>
  <si>
    <t>index=linux type=EXECVE (cmd=*nsenter* OR cmd=*unshare*)
| stats count by host, auid, cmd</t>
  </si>
  <si>
    <t>exe, a0..a3, auid, syscall</t>
  </si>
  <si>
    <t>https://attack.mitre.org/techniques/T1611/</t>
  </si>
  <si>
    <t>USER_LOGIN (1006)</t>
  </si>
  <si>
    <t>USER_ROLE_CHANGE (1130)</t>
  </si>
  <si>
    <t>USER_CHAUTHTOK (1112)</t>
  </si>
  <si>
    <t>ANOM_PROMISCUOUS (1700) — интерфейс переведён в promisc (sniffer). ANOM_ABEND (1701) — segfault процесса (попытка exploit?). ANOM_LOGIN_FAILURES (1112), ANOM_LOGIN_LOCATION (1114).</t>
  </si>
  <si>
    <t>• Полная телеметрия как в Windows Sysmon
• Дополняет auditd, даёт хеши файлов
• Обнаружение process injection на Linux</t>
  </si>
  <si>
    <t>• Исходящие к C2-инфраструктуре / IP из TI-фидов
• Исходящие connect от nginx, postgres, www-data (обычно только accept)
• bind() на высокие порты (&gt;40000) от shell-процессов
• Подключения к приватным сетям из DMZ</t>
  </si>
  <si>
    <t>Event 1 / 3 / 5 / 9 / 11 / 23</t>
  </si>
  <si>
    <t>ProcessCreate / NetworkConnect / ProcessTerminate / RawAccessRead / FileCreate / FileDelete</t>
  </si>
  <si>
    <t>Sysmon for Linux порт Sysmon на Linux на базе eBPF. Логи в syslog/journald в формате близком к Windows Sysmon. Поддерживаемые ID: Event 1 — ProcessCreate (ProcessGuid/Hash/ParentImage); Event 3 — NetworkConnect; Event 5 — ProcessTerminate; Event 9 — RawAccessRead; Event 11 — FileCreate; Event 23 — FileDelete. ProcessTampering (Event 25) на Linux НЕ поддерживается.</t>
  </si>
  <si>
    <t>index=linux type=EXECVE
  ((a0="*bash*" AND a1="*-i*") OR a0="*nc*" OR (a0="*python*" AND proctitle="*pty*")
   OR a0="*base64*" OR a0="*/tmp/*")
| table _time, host, auid, uid, exe, a0, a1, ppid
* Примечание: proctitle хранит hex-cmdline — надёжнее матчить по a0..aN или декодировать PROCTITLE (см. строку PROCTITLE)</t>
  </si>
  <si>
    <t>▸ SSH brute force
$ journalctl _COMM=sshd --since "1 hour ago" | grep -E 'Failed|Invalid user'
▸ ТОП атакующих IP
$ journalctl _COMM=sshd -S today | grep 'Failed' | grep -oP 'from \K[\d.]+' | sort | uniq -c | sort -rn | head
▸ fail2ban статус
$ fail2ban-client status sshd</t>
  </si>
  <si>
    <t>exe (docker/runc/nsenter), proctitle, ppid
Прим.: container_id в auditd НЕТ — это поле из логов dockerd/containerd (journald)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</si>
</sst>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7">
    <font>
      <sz val="11"/>
      <color theme="1"/>
      <name val="Calibri"/>
      <family val="2"/>
      <scheme val="minor"/>
    </font>
    <font>
      <sz val="11"/>
      <color theme="1"/>
      <name val="Calibri"/>
      <family val="2"/>
      <charset val="204"/>
      <scheme val="minor"/>
    </font>
    <font>
      <sz val="11"/>
      <color theme="1"/>
      <name val="Calibri"/>
      <family val="2"/>
      <charset val="204"/>
      <scheme val="minor"/>
    </font>
    <font>
      <b/>
      <sz val="11"/>
      <color theme="1"/>
      <name val="Calibri"/>
      <family val="2"/>
      <charset val="204"/>
      <scheme val="minor"/>
    </font>
    <font>
      <u/>
      <sz val="11"/>
      <color theme="10"/>
      <name val="Calibri"/>
      <family val="2"/>
      <scheme val="minor"/>
    </font>
    <font>
      <b/>
      <sz val="11"/>
      <color rgb="FFFFFFFF"/>
      <name val="Calibri"/>
      <family val="2"/>
      <charset val="204"/>
    </font>
    <font>
      <b/>
      <sz val="11"/>
      <color rgb="FFFFFFFF"/>
      <name val="Calibri"/>
      <family val="2"/>
      <charset val="204"/>
      <scheme val="minor"/>
    </font>
    <font>
      <b/>
      <sz val="11"/>
      <color rgb="FF000000"/>
      <name val="Calibri"/>
      <family val="2"/>
      <charset val="204"/>
    </font>
    <font>
      <b/>
      <sz val="11"/>
      <color rgb="FF006100"/>
      <name val="Calibri"/>
      <family val="2"/>
      <charset val="204"/>
    </font>
    <font>
      <b/>
      <sz val="11"/>
      <color rgb="FF9C6500"/>
      <name val="Calibri"/>
      <family val="2"/>
      <charset val="204"/>
    </font>
    <font>
      <b/>
      <sz val="11"/>
      <name val="Calibri"/>
      <family val="2"/>
      <charset val="204"/>
    </font>
    <font>
      <b/>
      <sz val="11"/>
      <color rgb="FF1F4E78"/>
      <name val="Calibri"/>
      <family val="2"/>
      <charset val="204"/>
    </font>
    <font>
      <b/>
      <sz val="11"/>
      <color rgb="FF9C0006"/>
      <name val="Calibri"/>
      <family val="2"/>
      <charset val="204"/>
    </font>
    <font>
      <b/>
      <sz val="11"/>
      <color rgb="FFFF0000"/>
      <name val="Calibri"/>
      <family val="2"/>
      <charset val="204"/>
    </font>
    <font>
      <sz val="11"/>
      <color theme="1"/>
      <name val="Segoe UI"/>
      <family val="2"/>
      <charset val="204"/>
    </font>
    <font>
      <sz val="11"/>
      <color theme="0"/>
      <name val="Segoe UI"/>
      <family val="2"/>
      <charset val="204"/>
    </font>
    <font>
      <sz val="10"/>
      <color theme="1"/>
      <name val="Arial Unicode MS"/>
      <charset val="204"/>
    </font>
    <font>
      <sz val="10"/>
      <color theme="1"/>
      <name val="Arial Unicode MS"/>
    </font>
    <font>
      <sz val="10"/>
      <color theme="1"/>
      <name val="Consolas"/>
      <family val="3"/>
      <charset val="204"/>
    </font>
    <font>
      <u/>
      <sz val="11"/>
      <color theme="1"/>
      <name val="Calibri"/>
      <family val="2"/>
      <charset val="204"/>
      <scheme val="minor"/>
    </font>
    <font>
      <b/>
      <sz val="16"/>
      <color rgb="FF2E75B6"/>
      <name val="Calibri"/>
      <family val="2"/>
      <charset val="204"/>
    </font>
    <font>
      <b/>
      <sz val="16"/>
      <color rgb="FF2E75B6"/>
      <name val="Calibri"/>
      <family val="2"/>
      <charset val="204"/>
      <scheme val="minor"/>
    </font>
    <font>
      <i/>
      <sz val="11"/>
      <color theme="1"/>
      <name val="Calibri"/>
      <family val="2"/>
      <charset val="204"/>
      <scheme val="minor"/>
    </font>
    <font>
      <i/>
      <u/>
      <sz val="11"/>
      <color theme="1"/>
      <name val="Calibri"/>
      <family val="2"/>
      <charset val="204"/>
      <scheme val="minor"/>
    </font>
    <font>
      <b/>
      <sz val="11"/>
      <color rgb="FF7030A0"/>
      <name val="Calibri"/>
      <family val="2"/>
      <charset val="204"/>
    </font>
    <font>
      <sz val="11"/>
      <color rgb="FF7030A0"/>
      <name val="Calibri"/>
      <family val="2"/>
      <scheme val="minor"/>
    </font>
    <font>
      <b/>
      <sz val="11"/>
      <color rgb="FF7030A0"/>
      <name val="Calibri"/>
      <family val="2"/>
      <charset val="204"/>
      <scheme val="minor"/>
    </font>
    <font>
      <b/>
      <sz val="11"/>
      <color rgb="FF7030A0"/>
      <name val="Calibri"/>
      <family val="2"/>
    </font>
    <font>
      <b/>
      <sz val="10"/>
      <name val="Calibri"/>
      <family val="2"/>
      <charset val="204"/>
    </font>
    <font>
      <sz val="9"/>
      <name val="Courier New"/>
      <family val="3"/>
      <charset val="204"/>
    </font>
    <font>
      <u/>
      <sz val="9"/>
      <color rgb="FF0563C1"/>
      <name val="Calibri"/>
      <family val="2"/>
      <charset val="204"/>
    </font>
    <font>
      <b/>
      <sz val="11"/>
      <color theme="1"/>
      <name val="Calibri"/>
      <family val="2"/>
      <scheme val="minor"/>
    </font>
    <font>
      <b/>
      <sz val="16"/>
      <color rgb="FFFFFFFF"/>
      <name val="Calibri"/>
      <family val="2"/>
      <scheme val="minor"/>
    </font>
    <font>
      <sz val="10"/>
      <color rgb="FF404040"/>
      <name val="Calibri"/>
      <family val="2"/>
      <scheme val="minor"/>
    </font>
    <font>
      <i/>
      <sz val="10"/>
      <color rgb="FF404040"/>
      <name val="Calibri"/>
      <family val="2"/>
      <scheme val="minor"/>
    </font>
    <font>
      <b/>
      <sz val="12"/>
      <color rgb="FFFFFFFF"/>
      <name val="Calibri"/>
      <family val="2"/>
      <scheme val="minor"/>
    </font>
    <font>
      <b/>
      <sz val="11"/>
      <color rgb="FFFFFFFF"/>
      <name val="Calibri"/>
      <family val="2"/>
      <scheme val="minor"/>
    </font>
    <font>
      <sz val="10"/>
      <color theme="1"/>
      <name val="Calibri"/>
      <family val="2"/>
      <scheme val="minor"/>
    </font>
    <font>
      <b/>
      <sz val="10"/>
      <color theme="1"/>
      <name val="Calibri"/>
      <family val="2"/>
      <scheme val="minor"/>
    </font>
    <font>
      <b/>
      <sz val="10"/>
      <color rgb="FFFFFFFF"/>
      <name val="Calibri"/>
      <family val="2"/>
      <scheme val="minor"/>
    </font>
    <font>
      <u/>
      <sz val="10"/>
      <color rgb="FF0563C1"/>
      <name val="Calibri"/>
      <family val="2"/>
      <scheme val="minor"/>
    </font>
    <font>
      <sz val="9"/>
      <color theme="1"/>
      <name val="Consolas"/>
    </font>
    <font>
      <b/>
      <sz val="18"/>
      <color rgb="FFFFFFFF"/>
      <name val="Calibri"/>
      <family val="2"/>
      <scheme val="minor"/>
    </font>
    <font>
      <i/>
      <sz val="11"/>
      <color rgb="FFFFFFFF"/>
      <name val="Calibri"/>
      <family val="2"/>
      <scheme val="minor"/>
    </font>
    <font>
      <i/>
      <sz val="10"/>
      <color rgb="FF7030A0"/>
      <name val="Calibri"/>
      <family val="2"/>
      <scheme val="minor"/>
    </font>
    <font>
      <b/>
      <sz val="13"/>
      <color rgb="FFFFFFFF"/>
      <name val="Calibri"/>
      <family val="2"/>
      <scheme val="minor"/>
    </font>
    <font>
      <b/>
      <sz val="11"/>
      <color rgb="FFFFFFFF"/>
      <name val="Calibri"/>
      <scheme val="minor"/>
    </font>
    <font>
      <b/>
      <sz val="9"/>
      <color theme="1"/>
      <name val="Calibri"/>
      <scheme val="minor"/>
    </font>
    <font>
      <b/>
      <sz val="12"/>
      <color rgb="FF2E75B6"/>
      <name val="Calibri"/>
      <scheme val="minor"/>
    </font>
    <font>
      <b/>
      <sz val="11"/>
      <color rgb="FF9C0006"/>
      <name val="Calibri"/>
      <family val="2"/>
      <charset val="204"/>
      <scheme val="minor"/>
    </font>
    <font>
      <sz val="11"/>
      <color theme="1"/>
      <name val="Consolas"/>
      <family val="3"/>
      <charset val="204"/>
    </font>
    <font>
      <u/>
      <sz val="11"/>
      <color rgb="FF0563C1"/>
      <name val="Calibri"/>
      <family val="2"/>
      <charset val="204"/>
      <scheme val="minor"/>
    </font>
    <font>
      <u/>
      <sz val="11"/>
      <color theme="10"/>
      <name val="Calibri"/>
      <family val="2"/>
      <charset val="204"/>
      <scheme val="minor"/>
    </font>
    <font>
      <b/>
      <sz val="11"/>
      <color rgb="FF9C6500"/>
      <name val="Calibri"/>
      <family val="2"/>
      <charset val="204"/>
      <scheme val="minor"/>
    </font>
    <font>
      <b/>
      <sz val="11"/>
      <color rgb="FF006100"/>
      <name val="Calibri"/>
      <family val="2"/>
      <charset val="204"/>
      <scheme val="minor"/>
    </font>
    <font>
      <sz val="9"/>
      <color theme="1"/>
      <name val="Calibri"/>
      <family val="2"/>
      <charset val="204"/>
      <scheme val="minor"/>
    </font>
    <font>
      <b/>
      <sz val="9"/>
      <color theme="1"/>
      <name val="Calibri"/>
      <family val="2"/>
      <charset val="204"/>
      <scheme val="minor"/>
    </font>
    <font>
      <sz val="8"/>
      <color theme="1"/>
      <name val="Consolas"/>
      <family val="3"/>
      <charset val="204"/>
    </font>
    <font>
      <u/>
      <sz val="8"/>
      <color rgb="FF0563C1"/>
      <name val="Calibri"/>
      <family val="2"/>
      <charset val="204"/>
      <scheme val="minor"/>
    </font>
    <font>
      <b/>
      <sz val="9"/>
      <color rgb="FF000000"/>
      <name val="Calibri"/>
      <scheme val="minor"/>
    </font>
    <font>
      <sz val="9"/>
      <color rgb="FF000000"/>
      <name val="Calibri"/>
      <scheme val="minor"/>
    </font>
    <font>
      <sz val="8"/>
      <color rgb="FF000000"/>
      <name val="Consolas"/>
    </font>
    <font>
      <u/>
      <sz val="8"/>
      <color rgb="FF0563C1"/>
      <name val="Calibri"/>
      <scheme val="minor"/>
    </font>
    <font>
      <sz val="10"/>
      <color rgb="FF000000"/>
      <name val="Calibri"/>
      <scheme val="minor"/>
    </font>
    <font>
      <sz val="10"/>
      <color rgb="FF000000"/>
      <name val="Calibri"/>
    </font>
    <font>
      <sz val="11"/>
      <color rgb="FF5B2C6F"/>
      <name val="Calibri"/>
      <family val="2"/>
      <scheme val="minor"/>
    </font>
    <font>
      <sz val="11"/>
      <color rgb="FF7D5A29"/>
      <name val="Calibri"/>
      <family val="2"/>
      <scheme val="minor"/>
    </font>
    <font>
      <b/>
      <sz val="10"/>
      <color rgb="FF000000"/>
      <name val="Calibri"/>
      <scheme val="minor"/>
    </font>
    <font>
      <b/>
      <sz val="16"/>
      <color rgb="FF2E75B6"/>
      <name val="Calibri"/>
      <scheme val="minor"/>
    </font>
    <font>
      <b/>
      <sz val="10"/>
      <color rgb="FF9C6500"/>
      <name val="Calibri"/>
      <scheme val="minor"/>
    </font>
    <font>
      <u/>
      <sz val="10"/>
      <color rgb="FF0563C1"/>
      <name val="Calibri"/>
      <scheme val="minor"/>
    </font>
    <font>
      <sz val="10"/>
      <color rgb="FF000000"/>
      <name val="Calibri"/>
      <family val="2"/>
      <scheme val="minor"/>
    </font>
    <font>
      <b/>
      <sz val="10"/>
      <color rgb="FF000000"/>
      <name val="Calibri"/>
      <family val="2"/>
      <scheme val="minor"/>
    </font>
    <font>
      <b/>
      <sz val="16"/>
      <color rgb="FF2E75B6"/>
      <name val="Calibri"/>
      <family val="2"/>
      <scheme val="minor"/>
    </font>
    <font>
      <b/>
      <sz val="10"/>
      <color rgb="FF9C6500"/>
      <name val="Calibri"/>
      <family val="2"/>
      <scheme val="minor"/>
    </font>
    <font>
      <b/>
      <sz val="10"/>
      <color rgb="FF9C0006"/>
      <name val="Calibri"/>
      <family val="2"/>
      <scheme val="minor"/>
    </font>
    <font>
      <b/>
      <sz val="18"/>
      <color rgb="FFFFFFFF"/>
      <name val="Calibri"/>
      <family val="2"/>
      <charset val="204"/>
      <scheme val="minor"/>
    </font>
    <font>
      <i/>
      <sz val="11"/>
      <color rgb="FFFFFFFF"/>
      <name val="Calibri"/>
      <family val="2"/>
      <charset val="204"/>
      <scheme val="minor"/>
    </font>
    <font>
      <b/>
      <sz val="10"/>
      <color rgb="FFFFFFFF"/>
      <name val="Calibri"/>
      <family val="2"/>
      <charset val="204"/>
      <scheme val="minor"/>
    </font>
    <font>
      <b/>
      <sz val="9"/>
      <color rgb="FF000000"/>
      <name val="Calibri"/>
      <family val="2"/>
      <charset val="204"/>
      <scheme val="minor"/>
    </font>
    <font>
      <sz val="9"/>
      <color rgb="FF000000"/>
      <name val="Calibri"/>
      <family val="2"/>
      <charset val="204"/>
      <scheme val="minor"/>
    </font>
    <font>
      <u/>
      <sz val="11"/>
      <color rgb="FF0563C1"/>
      <name val="Calibri"/>
      <family val="2"/>
      <scheme val="minor"/>
    </font>
    <font>
      <b/>
      <sz val="10"/>
      <color theme="1" tint="4.9989318521683403E-2"/>
      <name val="Calibri"/>
      <family val="2"/>
      <scheme val="minor"/>
    </font>
    <font>
      <b/>
      <u/>
      <sz val="10"/>
      <color theme="1" tint="4.9989318521683403E-2"/>
      <name val="Calibri"/>
      <family val="2"/>
      <scheme val="minor"/>
    </font>
    <font>
      <sz val="11"/>
      <color indexed="81"/>
      <name val="Tahoma"/>
      <family val="2"/>
      <charset val="204"/>
    </font>
    <font>
      <b/>
      <sz val="11"/>
      <color indexed="81"/>
      <name val="Tahoma"/>
      <family val="2"/>
      <charset val="204"/>
    </font>
    <font>
      <b/>
      <sz val="12"/>
      <color rgb="FF2E75B6"/>
      <name val="Calibri"/>
      <family val="2"/>
      <charset val="204"/>
      <scheme val="minor"/>
    </font>
  </fonts>
  <fills count="80">
    <fill>
      <patternFill patternType="none"/>
    </fill>
    <fill>
      <patternFill patternType="gray125"/>
    </fill>
    <fill>
      <patternFill patternType="solid">
        <fgColor rgb="FF2E75B6"/>
        <bgColor rgb="FF2E75B6"/>
      </patternFill>
    </fill>
    <fill>
      <patternFill patternType="solid">
        <fgColor rgb="FF2E75B6"/>
        <bgColor indexed="64"/>
      </patternFill>
    </fill>
    <fill>
      <patternFill patternType="solid">
        <fgColor rgb="FFFFC7CE"/>
        <bgColor rgb="FFFFC7CE"/>
      </patternFill>
    </fill>
    <fill>
      <patternFill patternType="solid">
        <fgColor rgb="FFC6EFCE"/>
        <bgColor rgb="FFC6EFCE"/>
      </patternFill>
    </fill>
    <fill>
      <patternFill patternType="solid">
        <fgColor rgb="FFDBFBFD"/>
        <bgColor indexed="64"/>
      </patternFill>
    </fill>
    <fill>
      <patternFill patternType="solid">
        <fgColor rgb="FFFFEB9C"/>
        <bgColor rgb="FFFFEB9C"/>
      </patternFill>
    </fill>
    <fill>
      <patternFill patternType="solid">
        <fgColor rgb="FFF2F2F2"/>
        <bgColor rgb="FFF2F2F2"/>
      </patternFill>
    </fill>
    <fill>
      <patternFill patternType="solid">
        <fgColor rgb="FFD9E1F2"/>
        <bgColor rgb="FFD9E1F2"/>
      </patternFill>
    </fill>
    <fill>
      <patternFill patternType="solid">
        <fgColor rgb="FFFFF2CC"/>
        <bgColor rgb="FFFFF2CC"/>
      </patternFill>
    </fill>
    <fill>
      <patternFill patternType="solid">
        <fgColor rgb="FFFCE4D6"/>
        <bgColor rgb="FFFCE4D6"/>
      </patternFill>
    </fill>
    <fill>
      <patternFill patternType="solid">
        <fgColor rgb="FFE2EFDA"/>
        <bgColor rgb="FFE2EFDA"/>
      </patternFill>
    </fill>
    <fill>
      <patternFill patternType="solid">
        <fgColor rgb="FFDDEBF7"/>
        <bgColor rgb="FFDDEBF7"/>
      </patternFill>
    </fill>
    <fill>
      <patternFill patternType="solid">
        <fgColor rgb="FFEDEDED"/>
        <bgColor rgb="FFEDEDED"/>
      </patternFill>
    </fill>
    <fill>
      <patternFill patternType="solid">
        <fgColor rgb="FFD9D9D9"/>
        <bgColor rgb="FFD9D9D9"/>
      </patternFill>
    </fill>
    <fill>
      <patternFill patternType="solid">
        <fgColor theme="8" tint="0.79998168889431442"/>
        <bgColor rgb="FFD9D9D9"/>
      </patternFill>
    </fill>
    <fill>
      <patternFill patternType="solid">
        <fgColor rgb="FFFFC7CE"/>
        <bgColor indexed="64"/>
      </patternFill>
    </fill>
    <fill>
      <patternFill patternType="solid">
        <fgColor rgb="FFD9E1F2"/>
        <bgColor indexed="64"/>
      </patternFill>
    </fill>
    <fill>
      <patternFill patternType="solid">
        <fgColor rgb="FF00CC99"/>
        <bgColor indexed="64"/>
      </patternFill>
    </fill>
    <fill>
      <patternFill patternType="solid">
        <fgColor rgb="FFDBFBFD"/>
        <bgColor rgb="FFFFEB9C"/>
      </patternFill>
    </fill>
    <fill>
      <patternFill patternType="solid">
        <fgColor rgb="FFF9DFDF"/>
        <bgColor indexed="64"/>
      </patternFill>
    </fill>
    <fill>
      <patternFill patternType="solid">
        <fgColor rgb="FFF2F2F2"/>
      </patternFill>
    </fill>
    <fill>
      <patternFill patternType="solid">
        <fgColor rgb="FFFFDDDD"/>
      </patternFill>
    </fill>
    <fill>
      <patternFill patternType="solid">
        <fgColor rgb="FFFFFCCC"/>
      </patternFill>
    </fill>
    <fill>
      <patternFill patternType="solid">
        <fgColor rgb="FFFFE6B8"/>
      </patternFill>
    </fill>
    <fill>
      <patternFill patternType="solid">
        <fgColor rgb="FF2E75B6"/>
      </patternFill>
    </fill>
    <fill>
      <patternFill patternType="solid">
        <fgColor rgb="FF40E0D0"/>
      </patternFill>
    </fill>
    <fill>
      <patternFill patternType="solid">
        <fgColor theme="4" tint="-0.249977111117893"/>
        <bgColor indexed="64"/>
      </patternFill>
    </fill>
    <fill>
      <patternFill patternType="solid">
        <fgColor rgb="FF1F3864"/>
        <bgColor indexed="64"/>
      </patternFill>
    </fill>
    <fill>
      <patternFill patternType="solid">
        <fgColor rgb="FFC00000"/>
        <bgColor indexed="64"/>
      </patternFill>
    </fill>
    <fill>
      <patternFill patternType="solid">
        <fgColor rgb="FFFFD966"/>
        <bgColor indexed="64"/>
      </patternFill>
    </fill>
    <fill>
      <patternFill patternType="solid">
        <fgColor rgb="FFF4B084"/>
        <bgColor indexed="64"/>
      </patternFill>
    </fill>
    <fill>
      <patternFill patternType="solid">
        <fgColor rgb="FFA9D08E"/>
        <bgColor indexed="64"/>
      </patternFill>
    </fill>
    <fill>
      <patternFill patternType="solid">
        <fgColor rgb="FF9DC3E6"/>
        <bgColor indexed="64"/>
      </patternFill>
    </fill>
    <fill>
      <patternFill patternType="solid">
        <fgColor rgb="FFB4A7D6"/>
        <bgColor indexed="64"/>
      </patternFill>
    </fill>
    <fill>
      <patternFill patternType="solid">
        <fgColor rgb="FFD9D9D9"/>
        <bgColor indexed="64"/>
      </patternFill>
    </fill>
    <fill>
      <patternFill patternType="solid">
        <fgColor rgb="FFED7D31"/>
        <bgColor indexed="64"/>
      </patternFill>
    </fill>
    <fill>
      <patternFill patternType="solid">
        <fgColor rgb="FF7030A0"/>
        <bgColor indexed="64"/>
      </patternFill>
    </fill>
    <fill>
      <patternFill patternType="solid">
        <fgColor rgb="FFE06666"/>
        <bgColor indexed="64"/>
      </patternFill>
    </fill>
    <fill>
      <patternFill patternType="solid">
        <fgColor rgb="FFFFE699"/>
        <bgColor indexed="64"/>
      </patternFill>
    </fill>
    <fill>
      <patternFill patternType="solid">
        <fgColor rgb="FFDEEBF7"/>
        <bgColor indexed="64"/>
      </patternFill>
    </fill>
    <fill>
      <patternFill patternType="solid">
        <fgColor rgb="FFFFF2CC"/>
        <bgColor indexed="64"/>
      </patternFill>
    </fill>
    <fill>
      <patternFill patternType="solid">
        <fgColor rgb="FFFCE4D6"/>
        <bgColor indexed="64"/>
      </patternFill>
    </fill>
    <fill>
      <patternFill patternType="solid">
        <fgColor rgb="FFE2EFDA"/>
        <bgColor indexed="64"/>
      </patternFill>
    </fill>
    <fill>
      <patternFill patternType="solid">
        <fgColor rgb="FFF2F2F2"/>
        <bgColor indexed="64"/>
      </patternFill>
    </fill>
    <fill>
      <patternFill patternType="solid">
        <fgColor rgb="FFFFEB9C"/>
        <bgColor indexed="64"/>
      </patternFill>
    </fill>
    <fill>
      <patternFill patternType="solid">
        <fgColor rgb="FFFFFFFF"/>
        <bgColor indexed="64"/>
      </patternFill>
    </fill>
    <fill>
      <patternFill patternType="solid">
        <fgColor rgb="FFC6EFCE"/>
        <bgColor indexed="64"/>
      </patternFill>
    </fill>
    <fill>
      <patternFill patternType="solid">
        <fgColor rgb="FFF4CCCC"/>
        <bgColor indexed="64"/>
      </patternFill>
    </fill>
    <fill>
      <patternFill patternType="solid">
        <fgColor rgb="FFDDEBF7"/>
        <bgColor indexed="64"/>
      </patternFill>
    </fill>
    <fill>
      <patternFill patternType="solid">
        <fgColor rgb="FFE4DFEC"/>
        <bgColor indexed="64"/>
      </patternFill>
    </fill>
    <fill>
      <patternFill patternType="solid">
        <fgColor rgb="FF1F4E78"/>
        <bgColor indexed="64"/>
      </patternFill>
    </fill>
    <fill>
      <patternFill patternType="solid">
        <fgColor rgb="FFA8D8DE"/>
        <bgColor indexed="64"/>
      </patternFill>
    </fill>
    <fill>
      <patternFill patternType="solid">
        <fgColor rgb="FFE2F0D9"/>
        <bgColor indexed="64"/>
      </patternFill>
    </fill>
    <fill>
      <patternFill patternType="solid">
        <fgColor rgb="FF385723"/>
        <bgColor indexed="64"/>
      </patternFill>
    </fill>
    <fill>
      <patternFill patternType="solid">
        <fgColor rgb="FFC6E0B4"/>
        <bgColor indexed="64"/>
      </patternFill>
    </fill>
    <fill>
      <patternFill patternType="solid">
        <fgColor rgb="FFD5E3F0"/>
        <bgColor indexed="64"/>
      </patternFill>
    </fill>
    <fill>
      <patternFill patternType="solid">
        <fgColor rgb="FFFBE5D6"/>
        <bgColor indexed="64"/>
      </patternFill>
    </fill>
    <fill>
      <patternFill patternType="solid">
        <fgColor rgb="FFF8CBAD"/>
        <bgColor indexed="64"/>
      </patternFill>
    </fill>
    <fill>
      <patternFill patternType="solid">
        <fgColor rgb="FFBDD7EE"/>
        <bgColor indexed="64"/>
      </patternFill>
    </fill>
    <fill>
      <patternFill patternType="solid">
        <fgColor rgb="FFC5E0B4"/>
        <bgColor indexed="64"/>
      </patternFill>
    </fill>
    <fill>
      <patternFill patternType="solid">
        <fgColor rgb="FFEDE3D2"/>
        <bgColor indexed="64"/>
      </patternFill>
    </fill>
    <fill>
      <patternFill patternType="solid">
        <fgColor rgb="FFCCFFFF"/>
        <bgColor indexed="64"/>
      </patternFill>
    </fill>
    <fill>
      <patternFill patternType="solid">
        <fgColor rgb="FFEDD9FF"/>
        <bgColor indexed="64"/>
      </patternFill>
    </fill>
    <fill>
      <patternFill patternType="solid">
        <fgColor rgb="FFE0E0FF"/>
        <bgColor indexed="64"/>
      </patternFill>
    </fill>
    <fill>
      <patternFill patternType="solid">
        <fgColor rgb="FFFFE4E4"/>
        <bgColor indexed="64"/>
      </patternFill>
    </fill>
    <fill>
      <patternFill patternType="solid">
        <fgColor rgb="FFD9EAD3"/>
        <bgColor indexed="64"/>
      </patternFill>
    </fill>
    <fill>
      <patternFill patternType="solid">
        <fgColor rgb="FFCFE2F3"/>
        <bgColor indexed="64"/>
      </patternFill>
    </fill>
    <fill>
      <patternFill patternType="solid">
        <fgColor rgb="FFF0F0F0"/>
        <bgColor indexed="64"/>
      </patternFill>
    </fill>
    <fill>
      <patternFill patternType="solid">
        <fgColor rgb="FFD0E4FF"/>
        <bgColor indexed="64"/>
      </patternFill>
    </fill>
    <fill>
      <patternFill patternType="solid">
        <fgColor rgb="FFFFF0E0"/>
        <bgColor indexed="64"/>
      </patternFill>
    </fill>
    <fill>
      <patternFill patternType="solid">
        <fgColor rgb="FFE6F2E6"/>
        <bgColor indexed="64"/>
      </patternFill>
    </fill>
    <fill>
      <patternFill patternType="solid">
        <fgColor rgb="FFFDE9D9"/>
        <bgColor indexed="64"/>
      </patternFill>
    </fill>
    <fill>
      <patternFill patternType="solid">
        <fgColor rgb="FFEFEFEF"/>
        <bgColor indexed="64"/>
      </patternFill>
    </fill>
    <fill>
      <patternFill patternType="solid">
        <fgColor rgb="FFCCF5F0"/>
        <bgColor indexed="64"/>
      </patternFill>
    </fill>
    <fill>
      <patternFill patternType="solid">
        <fgColor rgb="FFFAD4D4"/>
        <bgColor indexed="64"/>
      </patternFill>
    </fill>
    <fill>
      <patternFill patternType="solid">
        <fgColor rgb="FFD6F0D6"/>
        <bgColor indexed="64"/>
      </patternFill>
    </fill>
    <fill>
      <patternFill patternType="solid">
        <fgColor rgb="FFFBE4E4"/>
        <bgColor indexed="64"/>
      </patternFill>
    </fill>
    <fill>
      <patternFill patternType="solid">
        <fgColor rgb="FFEDEDED"/>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auto="1"/>
      </left>
      <right style="thin">
        <color auto="1"/>
      </right>
      <top/>
      <bottom/>
      <diagonal/>
    </border>
    <border>
      <left/>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s>
  <cellStyleXfs count="2">
    <xf numFmtId="0" fontId="0" fillId="0" borderId="0"/>
    <xf numFmtId="0" fontId="4" fillId="0" borderId="0" applyNumberFormat="0" applyFill="0" applyBorder="0" applyAlignment="0" applyProtection="0"/>
  </cellStyleXfs>
  <cellXfs count="336">
    <xf numFmtId="0" fontId="0" fillId="0" borderId="0" xfId="0"/>
    <xf numFmtId="0" fontId="5" fillId="2" borderId="1" xfId="0" applyFont="1" applyFill="1" applyBorder="1" applyAlignment="1">
      <alignment horizontal="center" vertical="center" wrapText="1"/>
    </xf>
    <xf numFmtId="0" fontId="14" fillId="0" borderId="1" xfId="0" applyFont="1" applyBorder="1" applyAlignment="1">
      <alignment horizontal="left" vertical="center" wrapText="1" indent="1"/>
    </xf>
    <xf numFmtId="0" fontId="14" fillId="6" borderId="1" xfId="0" applyFont="1" applyFill="1" applyBorder="1" applyAlignment="1">
      <alignment horizontal="left" vertical="center" wrapText="1" indent="1"/>
    </xf>
    <xf numFmtId="0" fontId="6" fillId="3" borderId="1" xfId="0" applyFont="1" applyFill="1" applyBorder="1" applyAlignment="1">
      <alignment horizontal="center" vertical="center" wrapText="1"/>
    </xf>
    <xf numFmtId="0" fontId="4" fillId="0" borderId="1" xfId="1" applyNumberFormat="1" applyBorder="1" applyAlignment="1">
      <alignment horizontal="center" vertical="center" wrapText="1"/>
    </xf>
    <xf numFmtId="0" fontId="5" fillId="2" borderId="2" xfId="0" applyFont="1" applyFill="1" applyBorder="1" applyAlignment="1">
      <alignment horizontal="center" vertical="center" wrapText="1"/>
    </xf>
    <xf numFmtId="0" fontId="0" fillId="0" borderId="2" xfId="0" applyBorder="1" applyAlignment="1">
      <alignment vertical="top" wrapText="1"/>
    </xf>
    <xf numFmtId="0" fontId="0" fillId="0" borderId="2" xfId="0" applyBorder="1" applyAlignment="1">
      <alignment horizontal="center" wrapText="1"/>
    </xf>
    <xf numFmtId="0" fontId="10" fillId="5" borderId="2" xfId="0" applyFont="1" applyFill="1" applyBorder="1" applyAlignment="1">
      <alignment wrapText="1"/>
    </xf>
    <xf numFmtId="0" fontId="0" fillId="0" borderId="2" xfId="0" applyBorder="1" applyAlignment="1">
      <alignment wrapText="1"/>
    </xf>
    <xf numFmtId="0" fontId="10" fillId="4" borderId="2" xfId="0" applyFont="1" applyFill="1" applyBorder="1" applyAlignment="1">
      <alignment wrapText="1"/>
    </xf>
    <xf numFmtId="0" fontId="10" fillId="7" borderId="2" xfId="0" applyFont="1" applyFill="1" applyBorder="1" applyAlignment="1">
      <alignment wrapText="1"/>
    </xf>
    <xf numFmtId="0" fontId="0" fillId="7" borderId="2" xfId="0" applyFill="1" applyBorder="1" applyAlignment="1">
      <alignment wrapText="1"/>
    </xf>
    <xf numFmtId="0" fontId="10" fillId="11" borderId="2" xfId="0" applyFont="1" applyFill="1" applyBorder="1" applyAlignment="1">
      <alignment wrapText="1"/>
    </xf>
    <xf numFmtId="0" fontId="10" fillId="9" borderId="2" xfId="0" applyFont="1" applyFill="1" applyBorder="1" applyAlignment="1">
      <alignment wrapText="1"/>
    </xf>
    <xf numFmtId="0" fontId="10" fillId="12" borderId="2" xfId="0" applyFont="1" applyFill="1" applyBorder="1" applyAlignment="1">
      <alignment wrapText="1"/>
    </xf>
    <xf numFmtId="0" fontId="10" fillId="10" borderId="2" xfId="0" applyFont="1" applyFill="1" applyBorder="1" applyAlignment="1">
      <alignment wrapText="1"/>
    </xf>
    <xf numFmtId="0" fontId="10" fillId="14" borderId="2" xfId="0" applyFont="1" applyFill="1" applyBorder="1" applyAlignment="1">
      <alignment wrapText="1"/>
    </xf>
    <xf numFmtId="0" fontId="0" fillId="11" borderId="2" xfId="0" applyFill="1" applyBorder="1" applyAlignment="1">
      <alignment wrapText="1"/>
    </xf>
    <xf numFmtId="0" fontId="10" fillId="15" borderId="2" xfId="0" applyFont="1" applyFill="1" applyBorder="1" applyAlignment="1">
      <alignment wrapText="1"/>
    </xf>
    <xf numFmtId="0" fontId="10" fillId="8" borderId="2" xfId="0" applyFont="1" applyFill="1" applyBorder="1" applyAlignment="1">
      <alignment wrapText="1"/>
    </xf>
    <xf numFmtId="0" fontId="0" fillId="4" borderId="2" xfId="0" applyFill="1" applyBorder="1" applyAlignment="1">
      <alignment wrapText="1"/>
    </xf>
    <xf numFmtId="0" fontId="15" fillId="3" borderId="1" xfId="0" applyFont="1" applyFill="1" applyBorder="1" applyAlignment="1">
      <alignment horizontal="left" vertical="center" wrapText="1" indent="1"/>
    </xf>
    <xf numFmtId="0" fontId="4" fillId="0" borderId="1" xfId="1" applyBorder="1" applyAlignment="1">
      <alignment horizontal="center" vertical="center" wrapText="1"/>
    </xf>
    <xf numFmtId="0" fontId="4" fillId="0" borderId="1" xfId="1" applyFill="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7" fillId="7" borderId="1" xfId="0" applyFont="1" applyFill="1" applyBorder="1" applyAlignment="1">
      <alignment horizontal="center" vertical="center" wrapText="1"/>
    </xf>
    <xf numFmtId="0" fontId="0" fillId="6" borderId="1" xfId="0" applyFill="1" applyBorder="1" applyAlignment="1">
      <alignment horizontal="center" vertical="center" wrapText="1"/>
    </xf>
    <xf numFmtId="0" fontId="8" fillId="5"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11" fillId="9" borderId="1" xfId="0" applyFont="1" applyFill="1" applyBorder="1" applyAlignment="1">
      <alignment horizontal="center" vertical="center" wrapText="1"/>
    </xf>
    <xf numFmtId="0" fontId="7" fillId="12" borderId="1" xfId="0" applyFont="1" applyFill="1" applyBorder="1" applyAlignment="1">
      <alignment horizontal="center" vertical="center" wrapText="1"/>
    </xf>
    <xf numFmtId="0" fontId="10" fillId="9" borderId="1" xfId="0" applyFont="1" applyFill="1" applyBorder="1" applyAlignment="1">
      <alignment horizontal="center" vertical="center" wrapText="1"/>
    </xf>
    <xf numFmtId="0" fontId="10" fillId="10" borderId="1" xfId="0" applyFont="1" applyFill="1" applyBorder="1" applyAlignment="1">
      <alignment horizontal="center" vertical="center" wrapText="1"/>
    </xf>
    <xf numFmtId="0" fontId="16"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7" fillId="13" borderId="1" xfId="0" applyFont="1" applyFill="1" applyBorder="1" applyAlignment="1">
      <alignment horizontal="center" vertical="center" wrapText="1"/>
    </xf>
    <xf numFmtId="0" fontId="10" fillId="12" borderId="1" xfId="0" applyFont="1" applyFill="1" applyBorder="1" applyAlignment="1">
      <alignment horizontal="center" vertical="center" wrapText="1"/>
    </xf>
    <xf numFmtId="0" fontId="7" fillId="16"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14" borderId="1" xfId="0" applyFont="1" applyFill="1" applyBorder="1" applyAlignment="1">
      <alignment horizontal="center" vertical="center" wrapText="1"/>
    </xf>
    <xf numFmtId="0" fontId="7" fillId="15"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0" fillId="11"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13" fillId="17" borderId="1" xfId="0" applyFont="1" applyFill="1" applyBorder="1" applyAlignment="1">
      <alignment horizontal="center" vertical="center" wrapText="1"/>
    </xf>
    <xf numFmtId="0" fontId="0" fillId="18" borderId="1" xfId="0" applyFill="1" applyBorder="1" applyAlignment="1">
      <alignment horizontal="center" vertical="center" wrapText="1"/>
    </xf>
    <xf numFmtId="0" fontId="14" fillId="0" borderId="1" xfId="0" applyFont="1" applyBorder="1" applyAlignment="1">
      <alignment horizontal="center" vertical="center" wrapText="1"/>
    </xf>
    <xf numFmtId="0" fontId="0" fillId="19" borderId="1" xfId="0" applyFill="1" applyBorder="1" applyAlignment="1">
      <alignment horizontal="center" vertical="center" wrapText="1"/>
    </xf>
    <xf numFmtId="0" fontId="2" fillId="0" borderId="0" xfId="0" applyFont="1"/>
    <xf numFmtId="0" fontId="15" fillId="3"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3" fillId="17" borderId="0" xfId="0" applyFont="1" applyFill="1"/>
    <xf numFmtId="0" fontId="15" fillId="3" borderId="3" xfId="0" applyFont="1" applyFill="1" applyBorder="1" applyAlignment="1">
      <alignment horizontal="center" vertical="center" wrapText="1"/>
    </xf>
    <xf numFmtId="0" fontId="19" fillId="0" borderId="1" xfId="1" applyFont="1" applyFill="1" applyBorder="1" applyAlignment="1">
      <alignment horizontal="center" vertical="center" wrapText="1"/>
    </xf>
    <xf numFmtId="0" fontId="20"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20" fillId="0" borderId="2" xfId="0" applyFont="1" applyBorder="1" applyAlignment="1">
      <alignment horizontal="center" wrapText="1"/>
    </xf>
    <xf numFmtId="0" fontId="0" fillId="20" borderId="2" xfId="0" applyFill="1" applyBorder="1" applyAlignment="1">
      <alignment wrapText="1"/>
    </xf>
    <xf numFmtId="0" fontId="0" fillId="6" borderId="2" xfId="0" applyFill="1" applyBorder="1" applyAlignment="1">
      <alignment wrapText="1"/>
    </xf>
    <xf numFmtId="0" fontId="0" fillId="21" borderId="1" xfId="0" applyFill="1" applyBorder="1" applyAlignment="1">
      <alignment horizontal="center" vertical="center" wrapText="1"/>
    </xf>
    <xf numFmtId="0" fontId="5" fillId="2" borderId="4" xfId="0" applyFont="1" applyFill="1" applyBorder="1" applyAlignment="1">
      <alignment horizontal="center" vertical="center" wrapText="1"/>
    </xf>
    <xf numFmtId="0" fontId="0" fillId="0" borderId="1" xfId="0" quotePrefix="1" applyBorder="1" applyAlignment="1">
      <alignment horizontal="center" vertical="center" wrapText="1"/>
    </xf>
    <xf numFmtId="0" fontId="0" fillId="0" borderId="1" xfId="0" applyBorder="1" applyAlignment="1">
      <alignment wrapText="1"/>
    </xf>
    <xf numFmtId="0" fontId="4" fillId="0" borderId="1" xfId="1" applyBorder="1" applyAlignment="1">
      <alignment wrapText="1"/>
    </xf>
    <xf numFmtId="0" fontId="0" fillId="22" borderId="1" xfId="0" applyFill="1" applyBorder="1" applyAlignment="1">
      <alignment horizontal="center" vertical="center" wrapText="1"/>
    </xf>
    <xf numFmtId="0" fontId="0" fillId="23" borderId="1" xfId="0" applyFill="1" applyBorder="1" applyAlignment="1">
      <alignment horizontal="center" vertical="center" wrapText="1"/>
    </xf>
    <xf numFmtId="0" fontId="0" fillId="24" borderId="1" xfId="0" applyFill="1" applyBorder="1" applyAlignment="1">
      <alignment horizontal="center" vertical="center" wrapText="1"/>
    </xf>
    <xf numFmtId="0" fontId="0" fillId="25" borderId="1" xfId="0" applyFill="1" applyBorder="1" applyAlignment="1">
      <alignment horizontal="center" vertical="center" wrapText="1"/>
    </xf>
    <xf numFmtId="0" fontId="28" fillId="0" borderId="1" xfId="0" applyFont="1" applyBorder="1" applyAlignment="1">
      <alignment horizontal="center" vertical="center" wrapText="1"/>
    </xf>
    <xf numFmtId="0" fontId="28" fillId="22" borderId="1" xfId="0" applyFont="1" applyFill="1" applyBorder="1" applyAlignment="1">
      <alignment horizontal="center" vertical="center" wrapText="1"/>
    </xf>
    <xf numFmtId="0" fontId="5" fillId="26" borderId="1" xfId="0" applyFont="1" applyFill="1" applyBorder="1" applyAlignment="1">
      <alignment horizontal="center" vertical="center" wrapText="1"/>
    </xf>
    <xf numFmtId="0" fontId="10" fillId="27" borderId="1" xfId="0" applyFont="1" applyFill="1" applyBorder="1" applyAlignment="1">
      <alignment horizontal="center" vertical="center" wrapText="1"/>
    </xf>
    <xf numFmtId="0" fontId="29" fillId="22" borderId="1" xfId="0" applyFont="1" applyFill="1" applyBorder="1" applyAlignment="1">
      <alignment horizontal="center" vertical="center" wrapText="1"/>
    </xf>
    <xf numFmtId="0" fontId="30" fillId="22"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10" fillId="22" borderId="1" xfId="0" applyFont="1" applyFill="1" applyBorder="1" applyAlignment="1">
      <alignment horizontal="center" vertical="center" wrapText="1"/>
    </xf>
    <xf numFmtId="0" fontId="0" fillId="0" borderId="0" xfId="0" applyAlignment="1">
      <alignment vertical="top" wrapText="1"/>
    </xf>
    <xf numFmtId="0" fontId="0" fillId="0" borderId="0" xfId="0" applyAlignment="1">
      <alignment horizontal="center" vertical="top" wrapText="1"/>
    </xf>
    <xf numFmtId="0" fontId="31" fillId="18" borderId="0" xfId="0" applyFont="1" applyFill="1" applyAlignment="1">
      <alignment horizontal="center"/>
    </xf>
    <xf numFmtId="0" fontId="5" fillId="28" borderId="1" xfId="0" applyFont="1" applyFill="1" applyBorder="1" applyAlignment="1">
      <alignment horizontal="center" vertical="center" wrapText="1"/>
    </xf>
    <xf numFmtId="0" fontId="31" fillId="28" borderId="0" xfId="0" applyFont="1" applyFill="1" applyAlignment="1">
      <alignment horizontal="center"/>
    </xf>
    <xf numFmtId="0" fontId="36" fillId="3" borderId="0" xfId="0" applyFont="1" applyFill="1" applyAlignment="1">
      <alignment horizontal="center"/>
    </xf>
    <xf numFmtId="0" fontId="36" fillId="3" borderId="0" xfId="0" applyFont="1" applyFill="1" applyAlignment="1">
      <alignment horizontal="center" vertical="center"/>
    </xf>
    <xf numFmtId="0" fontId="37" fillId="0" borderId="7" xfId="0" applyFont="1" applyBorder="1" applyAlignment="1">
      <alignment vertical="top" wrapText="1"/>
    </xf>
    <xf numFmtId="0" fontId="38" fillId="31" borderId="7" xfId="0" applyFont="1" applyFill="1" applyBorder="1" applyAlignment="1">
      <alignment vertical="top" wrapText="1"/>
    </xf>
    <xf numFmtId="0" fontId="38" fillId="32" borderId="7" xfId="0" applyFont="1" applyFill="1" applyBorder="1" applyAlignment="1">
      <alignment vertical="top" wrapText="1"/>
    </xf>
    <xf numFmtId="0" fontId="38" fillId="33" borderId="7" xfId="0" applyFont="1" applyFill="1" applyBorder="1" applyAlignment="1">
      <alignment vertical="top" wrapText="1"/>
    </xf>
    <xf numFmtId="0" fontId="38" fillId="34" borderId="7" xfId="0" applyFont="1" applyFill="1" applyBorder="1" applyAlignment="1">
      <alignment vertical="top" wrapText="1"/>
    </xf>
    <xf numFmtId="0" fontId="38" fillId="35" borderId="7" xfId="0" applyFont="1" applyFill="1" applyBorder="1" applyAlignment="1">
      <alignment vertical="top" wrapText="1"/>
    </xf>
    <xf numFmtId="0" fontId="38" fillId="36" borderId="7" xfId="0" applyFont="1" applyFill="1" applyBorder="1" applyAlignment="1">
      <alignment vertical="top" wrapText="1"/>
    </xf>
    <xf numFmtId="0" fontId="39" fillId="37" borderId="7" xfId="0" applyFont="1" applyFill="1" applyBorder="1" applyAlignment="1">
      <alignment horizontal="center" vertical="top" wrapText="1"/>
    </xf>
    <xf numFmtId="0" fontId="39" fillId="30" borderId="7" xfId="0" applyFont="1" applyFill="1" applyBorder="1" applyAlignment="1">
      <alignment vertical="top" wrapText="1"/>
    </xf>
    <xf numFmtId="0" fontId="39" fillId="30" borderId="7" xfId="0" applyFont="1" applyFill="1" applyBorder="1" applyAlignment="1">
      <alignment horizontal="center" vertical="top" wrapText="1"/>
    </xf>
    <xf numFmtId="0" fontId="40" fillId="0" borderId="7" xfId="1" applyFont="1" applyBorder="1" applyAlignment="1">
      <alignment vertical="top" wrapText="1"/>
    </xf>
    <xf numFmtId="0" fontId="40" fillId="0" borderId="7" xfId="1" applyFont="1" applyBorder="1" applyAlignment="1">
      <alignment horizontal="center" vertical="top" wrapText="1"/>
    </xf>
    <xf numFmtId="0" fontId="41" fillId="0" borderId="7" xfId="0" applyFont="1" applyBorder="1" applyAlignment="1">
      <alignment vertical="top" wrapText="1"/>
    </xf>
    <xf numFmtId="0" fontId="36" fillId="38" borderId="0" xfId="0" applyFont="1" applyFill="1" applyAlignment="1">
      <alignment horizontal="center" vertical="center"/>
    </xf>
    <xf numFmtId="0" fontId="38" fillId="39" borderId="7" xfId="0" applyFont="1" applyFill="1" applyBorder="1" applyAlignment="1">
      <alignment vertical="top" wrapText="1"/>
    </xf>
    <xf numFmtId="0" fontId="38" fillId="40" borderId="7" xfId="0" applyFont="1" applyFill="1" applyBorder="1" applyAlignment="1">
      <alignment vertical="top" wrapText="1"/>
    </xf>
    <xf numFmtId="0" fontId="38" fillId="0" borderId="7" xfId="0" applyFont="1" applyBorder="1" applyAlignment="1">
      <alignment vertical="top" wrapText="1"/>
    </xf>
    <xf numFmtId="0" fontId="4" fillId="0" borderId="7" xfId="1" applyBorder="1" applyAlignment="1">
      <alignment vertical="top" wrapText="1"/>
    </xf>
    <xf numFmtId="0" fontId="37" fillId="0" borderId="9" xfId="0" applyFont="1" applyBorder="1" applyAlignment="1">
      <alignment vertical="top" wrapText="1"/>
    </xf>
    <xf numFmtId="0" fontId="38" fillId="33" borderId="9" xfId="0" applyFont="1" applyFill="1" applyBorder="1" applyAlignment="1">
      <alignment vertical="top" wrapText="1"/>
    </xf>
    <xf numFmtId="0" fontId="37" fillId="0" borderId="10" xfId="0" applyFont="1" applyBorder="1" applyAlignment="1">
      <alignment vertical="top" wrapText="1"/>
    </xf>
    <xf numFmtId="0" fontId="38" fillId="39" borderId="10" xfId="0" applyFont="1" applyFill="1" applyBorder="1" applyAlignment="1">
      <alignment vertical="top" wrapText="1"/>
    </xf>
    <xf numFmtId="0" fontId="38" fillId="39" borderId="9" xfId="0" applyFont="1" applyFill="1" applyBorder="1" applyAlignment="1">
      <alignment vertical="top" wrapText="1"/>
    </xf>
    <xf numFmtId="0" fontId="38" fillId="34" borderId="10" xfId="0" applyFont="1" applyFill="1" applyBorder="1" applyAlignment="1">
      <alignment vertical="top" wrapText="1"/>
    </xf>
    <xf numFmtId="0" fontId="38" fillId="32" borderId="9" xfId="0" applyFont="1" applyFill="1" applyBorder="1" applyAlignment="1">
      <alignment vertical="top" wrapText="1"/>
    </xf>
    <xf numFmtId="0" fontId="38" fillId="32" borderId="10" xfId="0" applyFont="1" applyFill="1" applyBorder="1" applyAlignment="1">
      <alignment vertical="top" wrapText="1"/>
    </xf>
    <xf numFmtId="0" fontId="38" fillId="45" borderId="7" xfId="0" applyFont="1" applyFill="1" applyBorder="1" applyAlignment="1">
      <alignment vertical="top" wrapText="1"/>
    </xf>
    <xf numFmtId="0" fontId="40" fillId="0" borderId="7" xfId="0" applyFont="1" applyBorder="1" applyAlignment="1">
      <alignment vertical="top" wrapText="1"/>
    </xf>
    <xf numFmtId="0" fontId="39" fillId="30" borderId="9" xfId="0" applyFont="1" applyFill="1" applyBorder="1" applyAlignment="1">
      <alignment horizontal="center" vertical="top" wrapText="1"/>
    </xf>
    <xf numFmtId="0" fontId="38" fillId="36" borderId="9" xfId="0" applyFont="1" applyFill="1" applyBorder="1" applyAlignment="1">
      <alignment vertical="top" wrapText="1"/>
    </xf>
    <xf numFmtId="0" fontId="40" fillId="0" borderId="9" xfId="1" applyFont="1" applyBorder="1" applyAlignment="1">
      <alignment horizontal="center" vertical="top" wrapText="1"/>
    </xf>
    <xf numFmtId="0" fontId="38" fillId="32" borderId="5" xfId="0" applyFont="1" applyFill="1" applyBorder="1" applyAlignment="1">
      <alignment vertical="top" wrapText="1"/>
    </xf>
    <xf numFmtId="0" fontId="40" fillId="0" borderId="8" xfId="1" applyFont="1" applyBorder="1" applyAlignment="1">
      <alignment horizontal="center" vertical="top" wrapText="1"/>
    </xf>
    <xf numFmtId="0" fontId="46" fillId="3" borderId="2" xfId="0" applyFont="1" applyFill="1" applyBorder="1" applyAlignment="1">
      <alignment horizontal="center" vertical="center"/>
    </xf>
    <xf numFmtId="0" fontId="47" fillId="49" borderId="2" xfId="0" applyFont="1" applyFill="1" applyBorder="1" applyAlignment="1">
      <alignment horizontal="center" vertical="center" wrapText="1"/>
    </xf>
    <xf numFmtId="0" fontId="47" fillId="50" borderId="2" xfId="0" applyFont="1" applyFill="1" applyBorder="1" applyAlignment="1">
      <alignment horizontal="center" vertical="center" wrapText="1"/>
    </xf>
    <xf numFmtId="0" fontId="47" fillId="51" borderId="2" xfId="0" applyFont="1" applyFill="1" applyBorder="1" applyAlignment="1">
      <alignment horizontal="center" vertical="center" wrapText="1"/>
    </xf>
    <xf numFmtId="0" fontId="47" fillId="18" borderId="2" xfId="0" applyFont="1" applyFill="1" applyBorder="1" applyAlignment="1">
      <alignment horizontal="center" vertical="center" wrapText="1"/>
    </xf>
    <xf numFmtId="0" fontId="48" fillId="45" borderId="2" xfId="0" applyFont="1" applyFill="1" applyBorder="1" applyAlignment="1">
      <alignment horizontal="center" vertical="center" wrapText="1"/>
    </xf>
    <xf numFmtId="0" fontId="48" fillId="47" borderId="2" xfId="0" applyFont="1" applyFill="1" applyBorder="1" applyAlignment="1">
      <alignment horizontal="center" vertical="center" wrapText="1"/>
    </xf>
    <xf numFmtId="0" fontId="47" fillId="44" borderId="2" xfId="0" applyFont="1" applyFill="1" applyBorder="1" applyAlignment="1">
      <alignment horizontal="center" vertical="center" wrapText="1"/>
    </xf>
    <xf numFmtId="0" fontId="47" fillId="42" borderId="2" xfId="0" applyFont="1" applyFill="1" applyBorder="1" applyAlignment="1">
      <alignment horizontal="center" vertical="center" wrapText="1"/>
    </xf>
    <xf numFmtId="0" fontId="47" fillId="43" borderId="2" xfId="0" applyFont="1" applyFill="1" applyBorder="1" applyAlignment="1">
      <alignment horizontal="center" vertical="center" wrapText="1"/>
    </xf>
    <xf numFmtId="0" fontId="6" fillId="3" borderId="2" xfId="0" applyFont="1" applyFill="1" applyBorder="1" applyAlignment="1">
      <alignment horizontal="center" vertical="center"/>
    </xf>
    <xf numFmtId="0" fontId="6" fillId="55" borderId="2" xfId="0" applyFont="1" applyFill="1" applyBorder="1" applyAlignment="1">
      <alignment horizontal="center" vertical="center" wrapText="1"/>
    </xf>
    <xf numFmtId="0" fontId="6" fillId="52" borderId="2" xfId="0" applyFont="1" applyFill="1" applyBorder="1" applyAlignment="1">
      <alignment horizontal="center" vertical="center"/>
    </xf>
    <xf numFmtId="0" fontId="1" fillId="45" borderId="2" xfId="0" applyFont="1" applyFill="1" applyBorder="1" applyAlignment="1">
      <alignment vertical="top" wrapText="1"/>
    </xf>
    <xf numFmtId="0" fontId="3" fillId="6" borderId="2" xfId="0" applyFont="1" applyFill="1" applyBorder="1" applyAlignment="1">
      <alignment vertical="top" wrapText="1"/>
    </xf>
    <xf numFmtId="0" fontId="49" fillId="17" borderId="2" xfId="0" applyFont="1" applyFill="1" applyBorder="1" applyAlignment="1">
      <alignment horizontal="center" vertical="center" wrapText="1"/>
    </xf>
    <xf numFmtId="0" fontId="50" fillId="54" borderId="2" xfId="0" applyFont="1" applyFill="1" applyBorder="1" applyAlignment="1">
      <alignment horizontal="left" vertical="top" wrapText="1"/>
    </xf>
    <xf numFmtId="0" fontId="1" fillId="18" borderId="2" xfId="0" applyFont="1" applyFill="1" applyBorder="1" applyAlignment="1">
      <alignment vertical="top" wrapText="1"/>
    </xf>
    <xf numFmtId="0" fontId="50" fillId="18" borderId="2" xfId="0" applyFont="1" applyFill="1" applyBorder="1" applyAlignment="1">
      <alignment vertical="top" wrapText="1"/>
    </xf>
    <xf numFmtId="0" fontId="51" fillId="45" borderId="2" xfId="0" applyFont="1" applyFill="1" applyBorder="1" applyAlignment="1">
      <alignment vertical="top" wrapText="1"/>
    </xf>
    <xf numFmtId="0" fontId="1" fillId="45" borderId="2" xfId="0" applyFont="1" applyFill="1" applyBorder="1" applyAlignment="1">
      <alignment horizontal="center" vertical="center" wrapText="1"/>
    </xf>
    <xf numFmtId="0" fontId="1" fillId="47" borderId="2" xfId="0" applyFont="1" applyFill="1" applyBorder="1" applyAlignment="1">
      <alignment vertical="top" wrapText="1"/>
    </xf>
    <xf numFmtId="0" fontId="52" fillId="47" borderId="2" xfId="1" applyFont="1" applyFill="1" applyBorder="1" applyAlignment="1">
      <alignment vertical="top" wrapText="1"/>
    </xf>
    <xf numFmtId="0" fontId="1" fillId="47" borderId="2" xfId="0" applyFont="1" applyFill="1" applyBorder="1" applyAlignment="1">
      <alignment horizontal="center" vertical="center" wrapText="1"/>
    </xf>
    <xf numFmtId="0" fontId="51" fillId="47" borderId="2" xfId="0" applyFont="1" applyFill="1" applyBorder="1" applyAlignment="1">
      <alignment vertical="top" wrapText="1"/>
    </xf>
    <xf numFmtId="0" fontId="53" fillId="46" borderId="2" xfId="0" applyFont="1" applyFill="1" applyBorder="1" applyAlignment="1">
      <alignment horizontal="center" vertical="center" wrapText="1"/>
    </xf>
    <xf numFmtId="0" fontId="3" fillId="53" borderId="2" xfId="0" applyFont="1" applyFill="1" applyBorder="1" applyAlignment="1">
      <alignment vertical="top" wrapText="1"/>
    </xf>
    <xf numFmtId="0" fontId="1" fillId="47" borderId="2" xfId="0" quotePrefix="1" applyFont="1" applyFill="1" applyBorder="1" applyAlignment="1">
      <alignment vertical="top" wrapText="1"/>
    </xf>
    <xf numFmtId="0" fontId="54" fillId="48" borderId="2" xfId="0" applyFont="1" applyFill="1" applyBorder="1" applyAlignment="1">
      <alignment horizontal="center" vertical="center" wrapText="1"/>
    </xf>
    <xf numFmtId="0" fontId="36" fillId="3" borderId="2" xfId="0" applyFont="1" applyFill="1" applyBorder="1" applyAlignment="1">
      <alignment horizontal="center" vertical="center" wrapText="1"/>
    </xf>
    <xf numFmtId="0" fontId="56" fillId="47" borderId="2" xfId="0" applyFont="1" applyFill="1" applyBorder="1" applyAlignment="1">
      <alignment horizontal="center" vertical="center" wrapText="1"/>
    </xf>
    <xf numFmtId="0" fontId="56" fillId="41" borderId="2" xfId="0" applyFont="1" applyFill="1" applyBorder="1" applyAlignment="1">
      <alignment horizontal="center" vertical="center" wrapText="1"/>
    </xf>
    <xf numFmtId="0" fontId="56" fillId="47" borderId="2" xfId="0" applyFont="1" applyFill="1" applyBorder="1" applyAlignment="1">
      <alignment vertical="top" wrapText="1"/>
    </xf>
    <xf numFmtId="0" fontId="55" fillId="47" borderId="2" xfId="0" applyFont="1" applyFill="1" applyBorder="1" applyAlignment="1">
      <alignment vertical="top" wrapText="1"/>
    </xf>
    <xf numFmtId="0" fontId="57" fillId="47" borderId="2" xfId="0" applyFont="1" applyFill="1" applyBorder="1" applyAlignment="1">
      <alignment vertical="top" wrapText="1"/>
    </xf>
    <xf numFmtId="0" fontId="58" fillId="47" borderId="2" xfId="0" applyFont="1" applyFill="1" applyBorder="1" applyAlignment="1">
      <alignment vertical="top" wrapText="1"/>
    </xf>
    <xf numFmtId="0" fontId="56" fillId="45" borderId="2" xfId="0" applyFont="1" applyFill="1" applyBorder="1" applyAlignment="1">
      <alignment horizontal="center" vertical="center" wrapText="1"/>
    </xf>
    <xf numFmtId="0" fontId="56" fillId="45" borderId="2" xfId="0" applyFont="1" applyFill="1" applyBorder="1" applyAlignment="1">
      <alignment vertical="top" wrapText="1"/>
    </xf>
    <xf numFmtId="0" fontId="55" fillId="45" borderId="2" xfId="0" applyFont="1" applyFill="1" applyBorder="1" applyAlignment="1">
      <alignment vertical="top" wrapText="1"/>
    </xf>
    <xf numFmtId="0" fontId="57" fillId="45" borderId="2" xfId="0" applyFont="1" applyFill="1" applyBorder="1" applyAlignment="1">
      <alignment vertical="top" wrapText="1"/>
    </xf>
    <xf numFmtId="0" fontId="58" fillId="45" borderId="2" xfId="0" applyFont="1" applyFill="1" applyBorder="1" applyAlignment="1">
      <alignment vertical="top" wrapText="1"/>
    </xf>
    <xf numFmtId="0" fontId="56" fillId="18" borderId="2" xfId="0" applyFont="1" applyFill="1" applyBorder="1" applyAlignment="1">
      <alignment horizontal="center" vertical="center" wrapText="1"/>
    </xf>
    <xf numFmtId="0" fontId="56" fillId="44" borderId="2" xfId="0" applyFont="1" applyFill="1" applyBorder="1" applyAlignment="1">
      <alignment horizontal="center" vertical="center" wrapText="1"/>
    </xf>
    <xf numFmtId="0" fontId="56" fillId="42" borderId="2" xfId="0" applyFont="1" applyFill="1" applyBorder="1" applyAlignment="1">
      <alignment horizontal="center" vertical="center" wrapText="1"/>
    </xf>
    <xf numFmtId="0" fontId="56" fillId="43" borderId="2" xfId="0" applyFont="1" applyFill="1" applyBorder="1" applyAlignment="1">
      <alignment horizontal="center" vertical="center" wrapText="1"/>
    </xf>
    <xf numFmtId="0" fontId="56" fillId="50" borderId="2" xfId="0" applyFont="1" applyFill="1" applyBorder="1" applyAlignment="1">
      <alignment horizontal="center" vertical="center" wrapText="1"/>
    </xf>
    <xf numFmtId="0" fontId="56" fillId="51" borderId="2" xfId="0" applyFont="1" applyFill="1" applyBorder="1" applyAlignment="1">
      <alignment horizontal="center" vertical="center" wrapText="1"/>
    </xf>
    <xf numFmtId="0" fontId="56" fillId="31" borderId="2" xfId="0" applyFont="1" applyFill="1" applyBorder="1" applyAlignment="1">
      <alignment horizontal="center" vertical="center" wrapText="1"/>
    </xf>
    <xf numFmtId="0" fontId="56" fillId="49" borderId="2" xfId="0" applyFont="1" applyFill="1" applyBorder="1" applyAlignment="1">
      <alignment horizontal="center" vertical="center" wrapText="1"/>
    </xf>
    <xf numFmtId="0" fontId="56" fillId="56" borderId="2" xfId="0" applyFont="1" applyFill="1" applyBorder="1" applyAlignment="1">
      <alignment horizontal="center" vertical="center" wrapText="1"/>
    </xf>
    <xf numFmtId="0" fontId="56" fillId="40" borderId="2" xfId="0" applyFont="1" applyFill="1" applyBorder="1" applyAlignment="1">
      <alignment horizontal="center" vertical="center" wrapText="1"/>
    </xf>
    <xf numFmtId="0" fontId="56" fillId="57" borderId="2" xfId="0" applyFont="1" applyFill="1" applyBorder="1" applyAlignment="1">
      <alignment horizontal="center" vertical="center" wrapText="1"/>
    </xf>
    <xf numFmtId="0" fontId="56" fillId="58" borderId="2" xfId="0" applyFont="1" applyFill="1" applyBorder="1" applyAlignment="1">
      <alignment horizontal="center" vertical="center" wrapText="1"/>
    </xf>
    <xf numFmtId="0" fontId="56" fillId="59" borderId="2" xfId="0" applyFont="1" applyFill="1" applyBorder="1" applyAlignment="1">
      <alignment horizontal="center" vertical="center" wrapText="1"/>
    </xf>
    <xf numFmtId="0" fontId="56" fillId="60" borderId="2" xfId="0" applyFont="1" applyFill="1" applyBorder="1" applyAlignment="1">
      <alignment horizontal="center" vertical="center" wrapText="1"/>
    </xf>
    <xf numFmtId="0" fontId="56" fillId="61" borderId="2" xfId="0" applyFont="1" applyFill="1" applyBorder="1" applyAlignment="1">
      <alignment horizontal="center" vertical="center" wrapText="1"/>
    </xf>
    <xf numFmtId="0" fontId="56" fillId="53" borderId="2" xfId="0" applyFont="1" applyFill="1" applyBorder="1" applyAlignment="1">
      <alignment vertical="top" wrapText="1"/>
    </xf>
    <xf numFmtId="0" fontId="56" fillId="47" borderId="11" xfId="0" applyFont="1" applyFill="1" applyBorder="1" applyAlignment="1">
      <alignment horizontal="center" vertical="center" wrapText="1"/>
    </xf>
    <xf numFmtId="0" fontId="56" fillId="58" borderId="11" xfId="0" applyFont="1" applyFill="1" applyBorder="1" applyAlignment="1">
      <alignment horizontal="center" vertical="center" wrapText="1"/>
    </xf>
    <xf numFmtId="0" fontId="59" fillId="45" borderId="13" xfId="0" applyFont="1" applyFill="1" applyBorder="1"/>
    <xf numFmtId="0" fontId="56" fillId="47" borderId="11" xfId="0" applyFont="1" applyFill="1" applyBorder="1" applyAlignment="1">
      <alignment vertical="top" wrapText="1"/>
    </xf>
    <xf numFmtId="0" fontId="55" fillId="47" borderId="11" xfId="0" applyFont="1" applyFill="1" applyBorder="1" applyAlignment="1">
      <alignment vertical="top" wrapText="1"/>
    </xf>
    <xf numFmtId="0" fontId="57" fillId="47" borderId="11" xfId="0" applyFont="1" applyFill="1" applyBorder="1" applyAlignment="1">
      <alignment vertical="top" wrapText="1"/>
    </xf>
    <xf numFmtId="0" fontId="62" fillId="45" borderId="11" xfId="0" applyFont="1" applyFill="1" applyBorder="1" applyAlignment="1">
      <alignment vertical="top" wrapText="1"/>
    </xf>
    <xf numFmtId="0" fontId="58" fillId="47" borderId="11" xfId="0" applyFont="1" applyFill="1" applyBorder="1" applyAlignment="1">
      <alignment vertical="top" wrapText="1"/>
    </xf>
    <xf numFmtId="0" fontId="59" fillId="45" borderId="13" xfId="0" applyFont="1" applyFill="1" applyBorder="1" applyAlignment="1">
      <alignment horizontal="center" vertical="center" wrapText="1"/>
    </xf>
    <xf numFmtId="0" fontId="59" fillId="47" borderId="12" xfId="0" applyFont="1" applyFill="1" applyBorder="1" applyAlignment="1">
      <alignment horizontal="center"/>
    </xf>
    <xf numFmtId="0" fontId="59" fillId="58" borderId="13" xfId="0" applyFont="1" applyFill="1" applyBorder="1" applyAlignment="1">
      <alignment horizontal="center" vertical="center" wrapText="1"/>
    </xf>
    <xf numFmtId="0" fontId="59" fillId="61" borderId="12" xfId="0" applyFont="1" applyFill="1" applyBorder="1" applyAlignment="1">
      <alignment horizontal="center"/>
    </xf>
    <xf numFmtId="0" fontId="59" fillId="47" borderId="12" xfId="0" applyFont="1" applyFill="1" applyBorder="1"/>
    <xf numFmtId="0" fontId="60" fillId="45" borderId="13" xfId="0" applyFont="1" applyFill="1" applyBorder="1" applyAlignment="1">
      <alignment vertical="top" wrapText="1"/>
    </xf>
    <xf numFmtId="0" fontId="60" fillId="47" borderId="12" xfId="0" applyFont="1" applyFill="1" applyBorder="1"/>
    <xf numFmtId="0" fontId="61" fillId="45" borderId="13" xfId="0" applyFont="1" applyFill="1" applyBorder="1" applyAlignment="1">
      <alignment vertical="top" wrapText="1"/>
    </xf>
    <xf numFmtId="0" fontId="61" fillId="47" borderId="12" xfId="0" applyFont="1" applyFill="1" applyBorder="1"/>
    <xf numFmtId="0" fontId="62" fillId="47" borderId="2" xfId="0" applyFont="1" applyFill="1" applyBorder="1"/>
    <xf numFmtId="0" fontId="4" fillId="0" borderId="9" xfId="1" applyBorder="1" applyAlignment="1">
      <alignment vertical="top" wrapText="1"/>
    </xf>
    <xf numFmtId="0" fontId="0" fillId="0" borderId="1" xfId="0" applyBorder="1" applyAlignment="1">
      <alignment horizontal="center" vertical="top" wrapText="1"/>
    </xf>
    <xf numFmtId="0" fontId="63" fillId="0" borderId="1" xfId="0" applyFont="1" applyBorder="1" applyAlignment="1">
      <alignment horizontal="left" vertical="top" wrapText="1"/>
    </xf>
    <xf numFmtId="0" fontId="64" fillId="0" borderId="1" xfId="0" applyFont="1" applyBorder="1" applyAlignment="1">
      <alignment horizontal="left" vertical="top" wrapText="1"/>
    </xf>
    <xf numFmtId="0" fontId="0" fillId="0" borderId="14" xfId="0" applyBorder="1" applyAlignment="1">
      <alignment horizontal="center" vertical="center" wrapText="1"/>
    </xf>
    <xf numFmtId="0" fontId="14" fillId="0" borderId="14" xfId="0" applyFont="1" applyBorder="1" applyAlignment="1">
      <alignment horizontal="center" vertical="center" wrapText="1"/>
    </xf>
    <xf numFmtId="0" fontId="0" fillId="0" borderId="15" xfId="0" applyBorder="1" applyAlignment="1">
      <alignment horizontal="center" vertical="center" wrapText="1"/>
    </xf>
    <xf numFmtId="0" fontId="5" fillId="2" borderId="16" xfId="0" applyFont="1" applyFill="1" applyBorder="1" applyAlignment="1">
      <alignment horizontal="center" vertical="center" wrapText="1"/>
    </xf>
    <xf numFmtId="0" fontId="0" fillId="0" borderId="3" xfId="0" applyBorder="1" applyAlignment="1">
      <alignment horizontal="center" vertical="center" wrapText="1"/>
    </xf>
    <xf numFmtId="0" fontId="27" fillId="0" borderId="15" xfId="0" applyFont="1" applyBorder="1" applyAlignment="1">
      <alignment horizontal="center" vertical="center" wrapText="1"/>
    </xf>
    <xf numFmtId="0" fontId="25" fillId="0" borderId="15" xfId="0" applyFont="1" applyBorder="1" applyAlignment="1">
      <alignment horizontal="center" vertical="center" wrapText="1"/>
    </xf>
    <xf numFmtId="0" fontId="25" fillId="0" borderId="15" xfId="0" applyFont="1" applyBorder="1" applyAlignment="1">
      <alignment wrapText="1"/>
    </xf>
    <xf numFmtId="0" fontId="24" fillId="0" borderId="15" xfId="0" applyFont="1" applyBorder="1" applyAlignment="1">
      <alignment horizontal="center" vertical="center" wrapText="1"/>
    </xf>
    <xf numFmtId="0" fontId="26" fillId="0" borderId="15" xfId="0" applyFont="1" applyBorder="1" applyAlignment="1">
      <alignment horizontal="center" vertical="center" wrapText="1"/>
    </xf>
    <xf numFmtId="0" fontId="0" fillId="0" borderId="14" xfId="0" applyBorder="1" applyAlignment="1">
      <alignment horizontal="center" vertical="top" wrapText="1"/>
    </xf>
    <xf numFmtId="0" fontId="65" fillId="51" borderId="1" xfId="0" applyFont="1" applyFill="1" applyBorder="1" applyAlignment="1">
      <alignment horizontal="center" vertical="center" wrapText="1"/>
    </xf>
    <xf numFmtId="0" fontId="66" fillId="62" borderId="1" xfId="0" applyFont="1" applyFill="1" applyBorder="1" applyAlignment="1">
      <alignment horizontal="center" vertical="center" wrapText="1"/>
    </xf>
    <xf numFmtId="0" fontId="36" fillId="3" borderId="7" xfId="0" applyFont="1" applyFill="1" applyBorder="1" applyAlignment="1">
      <alignment horizontal="center" vertical="center" wrapText="1"/>
    </xf>
    <xf numFmtId="0" fontId="67" fillId="0" borderId="7" xfId="0" applyFont="1" applyBorder="1" applyAlignment="1">
      <alignment horizontal="center" vertical="top" wrapText="1"/>
    </xf>
    <xf numFmtId="0" fontId="67" fillId="48" borderId="7" xfId="0" applyFont="1" applyFill="1" applyBorder="1" applyAlignment="1">
      <alignment horizontal="center" vertical="top" wrapText="1"/>
    </xf>
    <xf numFmtId="1" fontId="68" fillId="0" borderId="7" xfId="0" applyNumberFormat="1" applyFont="1" applyBorder="1" applyAlignment="1">
      <alignment horizontal="center" vertical="center" wrapText="1"/>
    </xf>
    <xf numFmtId="0" fontId="63" fillId="0" borderId="7" xfId="0" applyFont="1" applyBorder="1" applyAlignment="1">
      <alignment vertical="top" wrapText="1"/>
    </xf>
    <xf numFmtId="0" fontId="69" fillId="46" borderId="7" xfId="0" applyFont="1" applyFill="1" applyBorder="1" applyAlignment="1">
      <alignment horizontal="center" vertical="center" wrapText="1"/>
    </xf>
    <xf numFmtId="0" fontId="70" fillId="0" borderId="7" xfId="0" applyFont="1" applyBorder="1" applyAlignment="1">
      <alignment vertical="top" wrapText="1"/>
    </xf>
    <xf numFmtId="0" fontId="67" fillId="63" borderId="7" xfId="0" applyFont="1" applyFill="1" applyBorder="1" applyAlignment="1">
      <alignment vertical="top" wrapText="1"/>
    </xf>
    <xf numFmtId="0" fontId="36" fillId="3" borderId="7" xfId="0" applyFont="1" applyFill="1" applyBorder="1" applyAlignment="1">
      <alignment horizontal="center" vertical="center"/>
    </xf>
    <xf numFmtId="0" fontId="72" fillId="0" borderId="7" xfId="0" applyFont="1" applyBorder="1" applyAlignment="1">
      <alignment horizontal="center" vertical="center" wrapText="1"/>
    </xf>
    <xf numFmtId="0" fontId="72" fillId="48" borderId="7" xfId="0" applyFont="1" applyFill="1" applyBorder="1" applyAlignment="1">
      <alignment horizontal="center" vertical="center" wrapText="1"/>
    </xf>
    <xf numFmtId="1" fontId="73" fillId="0" borderId="7" xfId="0" applyNumberFormat="1" applyFont="1" applyBorder="1" applyAlignment="1">
      <alignment horizontal="center" vertical="center" wrapText="1"/>
    </xf>
    <xf numFmtId="0" fontId="72" fillId="63" borderId="7" xfId="0" applyFont="1" applyFill="1" applyBorder="1" applyAlignment="1">
      <alignment vertical="top" wrapText="1"/>
    </xf>
    <xf numFmtId="0" fontId="71" fillId="0" borderId="7" xfId="0" applyFont="1" applyBorder="1" applyAlignment="1">
      <alignment vertical="top" wrapText="1"/>
    </xf>
    <xf numFmtId="0" fontId="74" fillId="46" borderId="7" xfId="0" applyFont="1" applyFill="1" applyBorder="1" applyAlignment="1">
      <alignment horizontal="center" vertical="center" wrapText="1"/>
    </xf>
    <xf numFmtId="0" fontId="75" fillId="17" borderId="7" xfId="0" applyFont="1" applyFill="1" applyBorder="1" applyAlignment="1">
      <alignment horizontal="center" vertical="center" wrapText="1"/>
    </xf>
    <xf numFmtId="0" fontId="78" fillId="29" borderId="12" xfId="0" applyFont="1" applyFill="1" applyBorder="1" applyAlignment="1">
      <alignment horizontal="center" wrapText="1"/>
    </xf>
    <xf numFmtId="0" fontId="78" fillId="29" borderId="2" xfId="0" applyFont="1" applyFill="1" applyBorder="1" applyAlignment="1">
      <alignment horizontal="center" wrapText="1"/>
    </xf>
    <xf numFmtId="0" fontId="79" fillId="43" borderId="4" xfId="0" applyFont="1" applyFill="1" applyBorder="1" applyAlignment="1">
      <alignment horizontal="center" vertical="center" wrapText="1"/>
    </xf>
    <xf numFmtId="0" fontId="80" fillId="45" borderId="4" xfId="0" applyFont="1" applyFill="1" applyBorder="1" applyAlignment="1">
      <alignment vertical="top" wrapText="1"/>
    </xf>
    <xf numFmtId="0" fontId="79" fillId="43" borderId="16" xfId="0" applyFont="1" applyFill="1" applyBorder="1" applyAlignment="1">
      <alignment horizontal="center" vertical="center" wrapText="1"/>
    </xf>
    <xf numFmtId="0" fontId="80" fillId="47" borderId="16" xfId="0" applyFont="1" applyFill="1" applyBorder="1" applyAlignment="1">
      <alignment vertical="top" wrapText="1"/>
    </xf>
    <xf numFmtId="0" fontId="80" fillId="45" borderId="16" xfId="0" applyFont="1" applyFill="1" applyBorder="1" applyAlignment="1">
      <alignment vertical="top" wrapText="1"/>
    </xf>
    <xf numFmtId="0" fontId="79" fillId="44" borderId="16" xfId="0" applyFont="1" applyFill="1" applyBorder="1" applyAlignment="1">
      <alignment horizontal="center" vertical="center" wrapText="1"/>
    </xf>
    <xf numFmtId="0" fontId="79" fillId="42" borderId="16" xfId="0" applyFont="1" applyFill="1" applyBorder="1" applyAlignment="1">
      <alignment horizontal="center" vertical="center" wrapText="1"/>
    </xf>
    <xf numFmtId="0" fontId="79" fillId="64" borderId="16" xfId="0" applyFont="1" applyFill="1" applyBorder="1" applyAlignment="1">
      <alignment horizontal="center" vertical="center" wrapText="1"/>
    </xf>
    <xf numFmtId="0" fontId="79" fillId="65" borderId="16" xfId="0" applyFont="1" applyFill="1" applyBorder="1" applyAlignment="1">
      <alignment horizontal="center" vertical="center" wrapText="1"/>
    </xf>
    <xf numFmtId="0" fontId="79" fillId="66" borderId="16" xfId="0" applyFont="1" applyFill="1" applyBorder="1" applyAlignment="1">
      <alignment horizontal="center" vertical="center" wrapText="1"/>
    </xf>
    <xf numFmtId="0" fontId="79" fillId="67" borderId="16" xfId="0" applyFont="1" applyFill="1" applyBorder="1" applyAlignment="1">
      <alignment horizontal="center" vertical="center" wrapText="1"/>
    </xf>
    <xf numFmtId="0" fontId="79" fillId="68" borderId="16" xfId="0" applyFont="1" applyFill="1" applyBorder="1" applyAlignment="1">
      <alignment horizontal="center" vertical="center" wrapText="1"/>
    </xf>
    <xf numFmtId="0" fontId="79" fillId="49" borderId="16" xfId="0" applyFont="1" applyFill="1" applyBorder="1" applyAlignment="1">
      <alignment horizontal="center" vertical="center" wrapText="1"/>
    </xf>
    <xf numFmtId="0" fontId="79" fillId="69" borderId="16" xfId="0" applyFont="1" applyFill="1" applyBorder="1" applyAlignment="1">
      <alignment horizontal="center" vertical="center" wrapText="1"/>
    </xf>
    <xf numFmtId="0" fontId="79" fillId="70" borderId="16" xfId="0" applyFont="1" applyFill="1" applyBorder="1" applyAlignment="1">
      <alignment horizontal="center" vertical="center" wrapText="1"/>
    </xf>
    <xf numFmtId="0" fontId="79" fillId="71" borderId="16" xfId="0" applyFont="1" applyFill="1" applyBorder="1" applyAlignment="1">
      <alignment horizontal="center" vertical="center" wrapText="1"/>
    </xf>
    <xf numFmtId="0" fontId="80" fillId="47" borderId="1" xfId="0" applyFont="1" applyFill="1" applyBorder="1" applyAlignment="1">
      <alignment vertical="top" wrapText="1"/>
    </xf>
    <xf numFmtId="0" fontId="79" fillId="72" borderId="16" xfId="0" applyFont="1" applyFill="1" applyBorder="1" applyAlignment="1">
      <alignment horizontal="center" vertical="center" wrapText="1"/>
    </xf>
    <xf numFmtId="0" fontId="80" fillId="45" borderId="1" xfId="0" applyFont="1" applyFill="1" applyBorder="1" applyAlignment="1">
      <alignment vertical="top" wrapText="1"/>
    </xf>
    <xf numFmtId="0" fontId="59" fillId="73" borderId="1" xfId="0" applyFont="1" applyFill="1" applyBorder="1" applyAlignment="1">
      <alignment horizontal="center" vertical="top" wrapText="1"/>
    </xf>
    <xf numFmtId="0" fontId="0" fillId="0" borderId="1" xfId="0" applyBorder="1" applyAlignment="1">
      <alignment vertical="top" wrapText="1"/>
    </xf>
    <xf numFmtId="0" fontId="59" fillId="50" borderId="1" xfId="0" applyFont="1" applyFill="1" applyBorder="1" applyAlignment="1">
      <alignment horizontal="center" vertical="top" wrapText="1"/>
    </xf>
    <xf numFmtId="0" fontId="59" fillId="43" borderId="1" xfId="0" applyFont="1" applyFill="1" applyBorder="1" applyAlignment="1">
      <alignment horizontal="center" vertical="top" wrapText="1"/>
    </xf>
    <xf numFmtId="0" fontId="59" fillId="74" borderId="1" xfId="0" applyFont="1" applyFill="1" applyBorder="1" applyAlignment="1">
      <alignment horizontal="center" vertical="top" wrapText="1"/>
    </xf>
    <xf numFmtId="0" fontId="0" fillId="75" borderId="1" xfId="0" applyFill="1" applyBorder="1" applyAlignment="1">
      <alignment horizontal="center" vertical="center" wrapText="1"/>
    </xf>
    <xf numFmtId="0" fontId="4" fillId="47" borderId="2" xfId="1" applyFill="1" applyBorder="1" applyAlignment="1">
      <alignment vertical="top" wrapText="1"/>
    </xf>
    <xf numFmtId="0" fontId="38" fillId="76" borderId="7" xfId="0" applyFont="1" applyFill="1" applyBorder="1" applyAlignment="1">
      <alignment vertical="top" wrapText="1"/>
    </xf>
    <xf numFmtId="0" fontId="38" fillId="76" borderId="10" xfId="0" applyFont="1" applyFill="1" applyBorder="1" applyAlignment="1">
      <alignment vertical="top" wrapText="1"/>
    </xf>
    <xf numFmtId="0" fontId="38" fillId="21" borderId="7" xfId="0" applyFont="1" applyFill="1" applyBorder="1" applyAlignment="1">
      <alignment vertical="top" wrapText="1"/>
    </xf>
    <xf numFmtId="0" fontId="56" fillId="77" borderId="2" xfId="0" applyFont="1" applyFill="1" applyBorder="1" applyAlignment="1">
      <alignment vertical="top" wrapText="1"/>
    </xf>
    <xf numFmtId="0" fontId="56" fillId="6" borderId="2" xfId="0" applyFont="1" applyFill="1" applyBorder="1" applyAlignment="1">
      <alignment vertical="top" wrapText="1"/>
    </xf>
    <xf numFmtId="0" fontId="4" fillId="0" borderId="10" xfId="1" applyBorder="1" applyAlignment="1">
      <alignment vertical="top" wrapText="1"/>
    </xf>
    <xf numFmtId="0" fontId="38" fillId="47" borderId="7" xfId="0" applyFont="1" applyFill="1" applyBorder="1" applyAlignment="1">
      <alignment vertical="top" wrapText="1"/>
    </xf>
    <xf numFmtId="0" fontId="38" fillId="47" borderId="9" xfId="0" applyFont="1" applyFill="1" applyBorder="1" applyAlignment="1">
      <alignment vertical="top" wrapText="1"/>
    </xf>
    <xf numFmtId="0" fontId="38" fillId="47" borderId="10" xfId="0" applyFont="1" applyFill="1" applyBorder="1" applyAlignment="1">
      <alignment vertical="top" wrapText="1"/>
    </xf>
    <xf numFmtId="0" fontId="36" fillId="38" borderId="0" xfId="0" applyFont="1" applyFill="1" applyAlignment="1">
      <alignment horizontal="center" vertical="top" wrapText="1"/>
    </xf>
    <xf numFmtId="0" fontId="38" fillId="45" borderId="10" xfId="0" applyFont="1" applyFill="1" applyBorder="1" applyAlignment="1">
      <alignment vertical="top" wrapText="1"/>
    </xf>
    <xf numFmtId="0" fontId="40" fillId="0" borderId="10" xfId="1" applyFont="1" applyBorder="1" applyAlignment="1">
      <alignment vertical="top" wrapText="1"/>
    </xf>
    <xf numFmtId="0" fontId="5" fillId="28" borderId="1" xfId="0" applyFont="1" applyFill="1" applyBorder="1" applyAlignment="1">
      <alignment horizontal="center" vertical="top" wrapText="1"/>
    </xf>
    <xf numFmtId="0" fontId="47" fillId="50" borderId="11" xfId="0" applyFont="1" applyFill="1" applyBorder="1" applyAlignment="1">
      <alignment horizontal="center" vertical="center" wrapText="1"/>
    </xf>
    <xf numFmtId="0" fontId="48" fillId="47" borderId="11" xfId="0" applyFont="1" applyFill="1" applyBorder="1" applyAlignment="1">
      <alignment horizontal="center" vertical="center" wrapText="1"/>
    </xf>
    <xf numFmtId="0" fontId="1" fillId="47" borderId="11" xfId="0" applyFont="1" applyFill="1" applyBorder="1" applyAlignment="1">
      <alignment vertical="top" wrapText="1"/>
    </xf>
    <xf numFmtId="0" fontId="54" fillId="48" borderId="11" xfId="0" applyFont="1" applyFill="1" applyBorder="1" applyAlignment="1">
      <alignment horizontal="center" vertical="center" wrapText="1"/>
    </xf>
    <xf numFmtId="0" fontId="50" fillId="54" borderId="11" xfId="0" applyFont="1" applyFill="1" applyBorder="1" applyAlignment="1">
      <alignment horizontal="left" vertical="top" wrapText="1"/>
    </xf>
    <xf numFmtId="0" fontId="1" fillId="18" borderId="11" xfId="0" applyFont="1" applyFill="1" applyBorder="1" applyAlignment="1">
      <alignment vertical="top" wrapText="1"/>
    </xf>
    <xf numFmtId="0" fontId="50" fillId="18" borderId="11" xfId="0" applyFont="1" applyFill="1" applyBorder="1" applyAlignment="1">
      <alignment vertical="top" wrapText="1"/>
    </xf>
    <xf numFmtId="0" fontId="51" fillId="47" borderId="11" xfId="0" applyFont="1" applyFill="1" applyBorder="1" applyAlignment="1">
      <alignment vertical="top" wrapText="1"/>
    </xf>
    <xf numFmtId="0" fontId="1" fillId="47" borderId="11" xfId="0" applyFont="1" applyFill="1" applyBorder="1" applyAlignment="1">
      <alignment horizontal="center" vertical="center" wrapText="1"/>
    </xf>
    <xf numFmtId="0" fontId="56" fillId="43" borderId="2" xfId="0" applyFont="1" applyFill="1" applyBorder="1" applyAlignment="1">
      <alignment horizontal="center" vertical="top" wrapText="1"/>
    </xf>
    <xf numFmtId="0" fontId="53" fillId="46" borderId="2" xfId="0" applyFont="1" applyFill="1" applyBorder="1" applyAlignment="1">
      <alignment horizontal="center" vertical="top" wrapText="1"/>
    </xf>
    <xf numFmtId="0" fontId="1" fillId="47" borderId="2" xfId="0" applyFont="1" applyFill="1" applyBorder="1" applyAlignment="1">
      <alignment horizontal="center" vertical="top" wrapText="1"/>
    </xf>
    <xf numFmtId="0" fontId="49" fillId="17" borderId="2" xfId="0" applyFont="1" applyFill="1" applyBorder="1" applyAlignment="1">
      <alignment horizontal="center" vertical="top" wrapText="1"/>
    </xf>
    <xf numFmtId="0" fontId="56" fillId="42" borderId="2" xfId="0" applyFont="1" applyFill="1" applyBorder="1" applyAlignment="1">
      <alignment horizontal="center" vertical="top" wrapText="1"/>
    </xf>
    <xf numFmtId="0" fontId="56" fillId="44" borderId="2" xfId="0" applyFont="1" applyFill="1" applyBorder="1" applyAlignment="1">
      <alignment horizontal="center" vertical="top" wrapText="1"/>
    </xf>
    <xf numFmtId="0" fontId="56" fillId="50" borderId="2" xfId="0" applyFont="1" applyFill="1" applyBorder="1" applyAlignment="1">
      <alignment horizontal="center" vertical="top" wrapText="1"/>
    </xf>
    <xf numFmtId="0" fontId="86" fillId="47" borderId="2" xfId="0" applyFont="1" applyFill="1" applyBorder="1" applyAlignment="1">
      <alignment horizontal="center" vertical="center" wrapText="1"/>
    </xf>
    <xf numFmtId="0" fontId="56" fillId="44" borderId="11" xfId="0" applyFont="1" applyFill="1" applyBorder="1" applyAlignment="1">
      <alignment horizontal="center" vertical="top" wrapText="1"/>
    </xf>
    <xf numFmtId="0" fontId="42" fillId="29" borderId="0" xfId="0" applyFont="1" applyFill="1" applyAlignment="1">
      <alignment horizontal="center"/>
    </xf>
    <xf numFmtId="0" fontId="43" fillId="3" borderId="0" xfId="0" applyFont="1" applyFill="1" applyAlignment="1">
      <alignment horizontal="center"/>
    </xf>
    <xf numFmtId="0" fontId="45" fillId="29" borderId="0" xfId="0" applyFont="1" applyFill="1" applyAlignment="1">
      <alignment horizontal="center"/>
    </xf>
    <xf numFmtId="0" fontId="36" fillId="30" borderId="0" xfId="0" applyFont="1" applyFill="1"/>
    <xf numFmtId="0" fontId="36" fillId="30" borderId="6" xfId="0" applyFont="1" applyFill="1" applyBorder="1" applyAlignment="1">
      <alignment vertical="top" wrapText="1"/>
    </xf>
    <xf numFmtId="0" fontId="36" fillId="30" borderId="5" xfId="0" applyFont="1" applyFill="1" applyBorder="1" applyAlignment="1">
      <alignment vertical="top" wrapText="1"/>
    </xf>
    <xf numFmtId="0" fontId="36" fillId="30" borderId="8" xfId="0" applyFont="1" applyFill="1" applyBorder="1" applyAlignment="1">
      <alignment vertical="top" wrapText="1"/>
    </xf>
    <xf numFmtId="0" fontId="32" fillId="29" borderId="0" xfId="0" applyFont="1" applyFill="1" applyAlignment="1">
      <alignment horizontal="left"/>
    </xf>
    <xf numFmtId="0" fontId="34" fillId="0" borderId="0" xfId="0" applyFont="1"/>
    <xf numFmtId="0" fontId="35" fillId="3" borderId="0" xfId="0" applyFont="1" applyFill="1"/>
    <xf numFmtId="0" fontId="76" fillId="29" borderId="0" xfId="0" applyFont="1" applyFill="1" applyAlignment="1">
      <alignment horizontal="center"/>
    </xf>
    <xf numFmtId="0" fontId="77" fillId="3" borderId="0" xfId="0" applyFont="1" applyFill="1" applyAlignment="1">
      <alignment horizontal="center"/>
    </xf>
    <xf numFmtId="0" fontId="32" fillId="52" borderId="0" xfId="0" applyFont="1" applyFill="1" applyAlignment="1">
      <alignment horizontal="center" vertical="center"/>
    </xf>
    <xf numFmtId="0" fontId="0" fillId="0" borderId="0" xfId="0"/>
    <xf numFmtId="0" fontId="34" fillId="50" borderId="0" xfId="0" applyFont="1" applyFill="1" applyAlignment="1">
      <alignment horizontal="left" vertical="center" wrapText="1"/>
    </xf>
    <xf numFmtId="0" fontId="32" fillId="38" borderId="0" xfId="0" applyFont="1" applyFill="1"/>
    <xf numFmtId="0" fontId="14" fillId="0" borderId="1" xfId="0" applyFont="1" applyBorder="1" applyAlignment="1">
      <alignment horizontal="center" vertical="center" wrapText="1"/>
    </xf>
    <xf numFmtId="0" fontId="81" fillId="0" borderId="7" xfId="1" applyFont="1" applyFill="1" applyBorder="1" applyAlignment="1">
      <alignment horizontal="center" vertical="center" wrapText="1"/>
    </xf>
    <xf numFmtId="0" fontId="4" fillId="0" borderId="7" xfId="1" applyBorder="1" applyAlignment="1">
      <alignment horizontal="center" vertical="center" wrapText="1"/>
    </xf>
    <xf numFmtId="0" fontId="4" fillId="0" borderId="9" xfId="1" applyBorder="1" applyAlignment="1">
      <alignment horizontal="center" vertical="center" wrapText="1"/>
    </xf>
    <xf numFmtId="0" fontId="81" fillId="0" borderId="7" xfId="1" applyFont="1" applyBorder="1" applyAlignment="1">
      <alignment horizontal="center" vertical="center" wrapText="1"/>
    </xf>
    <xf numFmtId="0" fontId="40" fillId="0" borderId="10" xfId="1" applyFont="1" applyBorder="1" applyAlignment="1">
      <alignment horizontal="center" vertical="center" wrapText="1"/>
    </xf>
    <xf numFmtId="0" fontId="37" fillId="0" borderId="7" xfId="0" applyFont="1" applyBorder="1" applyAlignment="1">
      <alignment horizontal="center" vertical="center" wrapText="1"/>
    </xf>
    <xf numFmtId="0" fontId="38" fillId="41" borderId="7" xfId="0" applyFont="1" applyFill="1" applyBorder="1" applyAlignment="1">
      <alignment horizontal="center" vertical="center" wrapText="1"/>
    </xf>
    <xf numFmtId="0" fontId="63" fillId="47" borderId="7" xfId="0" applyFont="1" applyFill="1" applyBorder="1" applyAlignment="1">
      <alignment horizontal="center" vertical="center" wrapText="1"/>
    </xf>
    <xf numFmtId="0" fontId="37" fillId="0" borderId="9" xfId="0" applyFont="1" applyBorder="1" applyAlignment="1">
      <alignment horizontal="center" vertical="center" wrapText="1"/>
    </xf>
    <xf numFmtId="0" fontId="38" fillId="42" borderId="9" xfId="0" applyFont="1" applyFill="1" applyBorder="1" applyAlignment="1">
      <alignment horizontal="center" vertical="center" wrapText="1"/>
    </xf>
    <xf numFmtId="0" fontId="63" fillId="47" borderId="9" xfId="0" applyFont="1" applyFill="1" applyBorder="1" applyAlignment="1">
      <alignment horizontal="center" vertical="center" wrapText="1"/>
    </xf>
    <xf numFmtId="0" fontId="38" fillId="44" borderId="7" xfId="0" applyFont="1" applyFill="1" applyBorder="1" applyAlignment="1">
      <alignment horizontal="center" vertical="center" wrapText="1"/>
    </xf>
    <xf numFmtId="0" fontId="38" fillId="0" borderId="7" xfId="0" applyFont="1" applyBorder="1" applyAlignment="1">
      <alignment horizontal="center" vertical="center" wrapText="1"/>
    </xf>
    <xf numFmtId="0" fontId="38" fillId="43" borderId="7" xfId="0" applyFont="1" applyFill="1" applyBorder="1" applyAlignment="1">
      <alignment horizontal="center" vertical="center" wrapText="1"/>
    </xf>
    <xf numFmtId="0" fontId="38" fillId="42" borderId="7" xfId="0" applyFont="1" applyFill="1" applyBorder="1" applyAlignment="1">
      <alignment horizontal="center" vertical="center" wrapText="1"/>
    </xf>
    <xf numFmtId="0" fontId="38" fillId="78" borderId="7" xfId="0" applyFont="1" applyFill="1" applyBorder="1" applyAlignment="1">
      <alignment horizontal="center" vertical="center" wrapText="1"/>
    </xf>
    <xf numFmtId="0" fontId="38" fillId="79" borderId="7" xfId="0" applyFont="1" applyFill="1" applyBorder="1" applyAlignment="1">
      <alignment horizontal="center" vertical="center" wrapText="1"/>
    </xf>
    <xf numFmtId="0" fontId="82" fillId="79" borderId="7" xfId="0" applyFont="1" applyFill="1" applyBorder="1" applyAlignment="1">
      <alignment horizontal="center" vertical="center" wrapText="1"/>
    </xf>
    <xf numFmtId="0" fontId="39" fillId="3" borderId="7" xfId="0" applyFont="1" applyFill="1" applyBorder="1" applyAlignment="1">
      <alignment horizontal="center" vertical="center" wrapText="1"/>
    </xf>
    <xf numFmtId="0" fontId="83" fillId="79" borderId="7" xfId="1" applyFont="1" applyFill="1" applyBorder="1" applyAlignment="1">
      <alignment horizontal="center" vertical="center" wrapText="1"/>
    </xf>
    <xf numFmtId="0" fontId="40" fillId="0" borderId="7" xfId="1" applyFont="1" applyBorder="1" applyAlignment="1">
      <alignment horizontal="center" vertical="center" wrapText="1"/>
    </xf>
    <xf numFmtId="0" fontId="33" fillId="0" borderId="0" xfId="0" applyFont="1" applyAlignment="1">
      <alignment wrapText="1"/>
    </xf>
    <xf numFmtId="0" fontId="44" fillId="0" borderId="0" xfId="0" applyFont="1" applyAlignment="1">
      <alignment wrapText="1"/>
    </xf>
  </cellXfs>
  <cellStyles count="2">
    <cellStyle name="Гиперссылка" xfId="1" builtinId="8"/>
    <cellStyle name="Обычный" xfId="0" builtinId="0"/>
  </cellStyles>
  <dxfs count="7">
    <dxf>
      <fill>
        <patternFill patternType="solid">
          <fgColor rgb="FFF9DFDF"/>
          <bgColor rgb="FF000000"/>
        </patternFill>
      </fill>
    </dxf>
    <dxf>
      <fill>
        <patternFill patternType="solid">
          <fgColor rgb="FFF9DFDF"/>
          <bgColor rgb="FF000000"/>
        </patternFill>
      </fill>
    </dxf>
    <dxf>
      <fill>
        <patternFill patternType="solid">
          <fgColor rgb="FFF9DFDF"/>
          <bgColor rgb="FF000000"/>
        </patternFill>
      </fill>
    </dxf>
    <dxf>
      <fill>
        <patternFill patternType="solid">
          <fgColor rgb="FFF9DFDF"/>
          <bgColor rgb="FF000000"/>
        </patternFill>
      </fill>
    </dxf>
    <dxf>
      <fill>
        <patternFill patternType="solid">
          <fgColor rgb="FFF9DFDF"/>
          <bgColor rgb="FF000000"/>
        </patternFill>
      </fill>
    </dxf>
    <dxf>
      <fill>
        <patternFill patternType="solid">
          <fgColor rgb="FFF9DFDF"/>
          <bgColor rgb="FF000000"/>
        </patternFill>
      </fill>
    </dxf>
    <dxf>
      <fill>
        <patternFill patternType="solid">
          <fgColor rgb="FFF9DFDF"/>
          <bgColor rgb="FF000000"/>
        </patternFill>
      </fill>
    </dxf>
  </dxfs>
  <tableStyles count="0" defaultTableStyle="TableStyleMedium2" defaultPivotStyle="PivotStyleLight16"/>
  <colors>
    <mruColors>
      <color rgb="FFFF8181"/>
      <color rgb="FFDBFBFD"/>
      <color rgb="FFF9DFDF"/>
      <color rgb="FF7030A0"/>
      <color rgb="FF2E75B6"/>
      <color rgb="FFFFC7CE"/>
      <color rgb="FFD9E1F2"/>
      <color rgb="FF00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AB2441A-4C73-41F5-A568-51CA72B43B54}">
  <we:reference id="wa200009404" version="1.0.0.8" store="ru-RU" storeType="OMEX"/>
  <we:alternateReferences>
    <we:reference id="WA200009404" version="1.0.0.8" store="WA200009404" storeType="OMEX"/>
  </we:alternateReferences>
  <we:properties>
    <we:property name="claude.fileId" value="&quot;2f5bef10-8af6-42ce-a456-9acbc73e9da1&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8" Type="http://schemas.openxmlformats.org/officeDocument/2006/relationships/hyperlink" Target="https://learn.microsoft.com/en-us/previous-versions/windows/it-pro/windows-10/security/threat-protection/auditing/event-4779" TargetMode="External"/><Relationship Id="rId13" Type="http://schemas.openxmlformats.org/officeDocument/2006/relationships/hyperlink" Target="https://learn.microsoft.com/en-us/previous-versions/windows/it-pro/windows-10/security/threat-protection/auditing/event-552" TargetMode="External"/><Relationship Id="rId3" Type="http://schemas.openxmlformats.org/officeDocument/2006/relationships/hyperlink" Target="https://learn.microsoft.com/en-us/previous-versions/windows/it-pro/windows-10/security/threat-protection/auditing/event-4625" TargetMode="External"/><Relationship Id="rId7" Type="http://schemas.openxmlformats.org/officeDocument/2006/relationships/hyperlink" Target="https://learn.microsoft.com/en-us/previous-versions/windows/it-pro/windows-10/security/threat-protection/auditing/event-4778" TargetMode="External"/><Relationship Id="rId12" Type="http://schemas.openxmlformats.org/officeDocument/2006/relationships/hyperlink" Target="https://learn.microsoft.com/en-us/previous-versions/windows/it-pro/windows-10/security/threat-protection/auditing/event-4782" TargetMode="External"/><Relationship Id="rId2" Type="http://schemas.openxmlformats.org/officeDocument/2006/relationships/hyperlink" Target="https://learn.microsoft.com/en-us/previous-versions/windows/it-pro/windows-10/security/threat-protection/auditing/event-4624" TargetMode="External"/><Relationship Id="rId1" Type="http://schemas.openxmlformats.org/officeDocument/2006/relationships/hyperlink" Target="https://learn.microsoft.com/en-us/previous-versions/windows/it-pro/windows-10/security/threat-protection/auditing/event-4768%7babcFF%7d" TargetMode="External"/><Relationship Id="rId6" Type="http://schemas.openxmlformats.org/officeDocument/2006/relationships/hyperlink" Target="https://learn.microsoft.com/en-us/previous-versions/windows/it-pro/windows-10/security/threat-protection/auditing/event-4776" TargetMode="External"/><Relationship Id="rId11" Type="http://schemas.openxmlformats.org/officeDocument/2006/relationships/hyperlink" Target="https://learn.microsoft.com/en-us/previous-versions/windows/it-pro/windows-10/security/threat-protection/auditing/event-4771" TargetMode="External"/><Relationship Id="rId5" Type="http://schemas.openxmlformats.org/officeDocument/2006/relationships/hyperlink" Target="https://learn.microsoft.com/en-us/previous-versions/windows/it-pro/windows-10/security/threat-protection/auditing/event-4769" TargetMode="External"/><Relationship Id="rId10" Type="http://schemas.openxmlformats.org/officeDocument/2006/relationships/hyperlink" Target="https://learn.microsoft.com/en-us/previous-versions/windows/it-pro/windows-10/security/threat-protection/auditing/event-4801" TargetMode="External"/><Relationship Id="rId4" Type="http://schemas.openxmlformats.org/officeDocument/2006/relationships/hyperlink" Target="https://learn.microsoft.com/en-us/previous-versions/windows/it-pro/windows-10/security/threat-protection/auditing/event-4648" TargetMode="External"/><Relationship Id="rId9" Type="http://schemas.openxmlformats.org/officeDocument/2006/relationships/hyperlink" Target="https://learn.microsoft.com/en-us/previous-versions/windows/it-pro/windows-10/security/threat-protection/auditing/event-4800"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learn.microsoft.com/en-us/previous-versions/windows/it-pro/windows-10/security/threat-protection/auditing/event-4729" TargetMode="External"/><Relationship Id="rId13" Type="http://schemas.openxmlformats.org/officeDocument/2006/relationships/hyperlink" Target="https://learn.microsoft.com/en-us/previous-versions/windows/it-pro/windows-10/security/threat-protection/auditing/event-4755" TargetMode="External"/><Relationship Id="rId3" Type="http://schemas.openxmlformats.org/officeDocument/2006/relationships/hyperlink" Target="https://learn.microsoft.com/en-us/previous-versions/windows/it-pro/windows-10/security/threat-protection/auditing/event-4724" TargetMode="External"/><Relationship Id="rId7" Type="http://schemas.openxmlformats.org/officeDocument/2006/relationships/hyperlink" Target="https://learn.microsoft.com/en-us/previous-versions/windows/it-pro/windows-10/security/threat-protection/auditing/event-4728" TargetMode="External"/><Relationship Id="rId12" Type="http://schemas.openxmlformats.org/officeDocument/2006/relationships/hyperlink" Target="https://learn.microsoft.com/en-us/previous-versions/windows/it-pro/windows-10/security/threat-protection/auditing/event-4754" TargetMode="External"/><Relationship Id="rId2" Type="http://schemas.openxmlformats.org/officeDocument/2006/relationships/hyperlink" Target="https://learn.microsoft.com/en-us/previous-versions/windows/it-pro/windows-10/security/threat-protection/auditing/event-4725" TargetMode="External"/><Relationship Id="rId1" Type="http://schemas.openxmlformats.org/officeDocument/2006/relationships/hyperlink" Target="https://learn.microsoft.com/en-us/previous-versions/windows/it-pro/windows-10/security/threat-protection/auditing/event-4740" TargetMode="External"/><Relationship Id="rId6" Type="http://schemas.openxmlformats.org/officeDocument/2006/relationships/hyperlink" Target="https://learn.microsoft.com/en-us/previous-versions/windows/it-pro/windows-10/security/threat-protection/auditing/event-4726" TargetMode="External"/><Relationship Id="rId11" Type="http://schemas.openxmlformats.org/officeDocument/2006/relationships/hyperlink" Target="https://learn.microsoft.com/en-us/previous-versions/windows/it-pro/windows-10/security/threat-protection/auditing/event-4738" TargetMode="External"/><Relationship Id="rId5" Type="http://schemas.openxmlformats.org/officeDocument/2006/relationships/hyperlink" Target="https://learn.microsoft.com/en-us/previous-versions/windows/it-pro/windows-10/security/threat-protection/auditing/event-4720" TargetMode="External"/><Relationship Id="rId10" Type="http://schemas.openxmlformats.org/officeDocument/2006/relationships/hyperlink" Target="https://learn.microsoft.com/en-us/previous-versions/windows/it-pro/windows-10/security/threat-protection/auditing/event-4767" TargetMode="External"/><Relationship Id="rId4" Type="http://schemas.openxmlformats.org/officeDocument/2006/relationships/hyperlink" Target="https://learn.microsoft.com/en-us/previous-versions/windows/it-pro/windows-10/security/threat-protection/auditing/event-4722" TargetMode="External"/><Relationship Id="rId9" Type="http://schemas.openxmlformats.org/officeDocument/2006/relationships/hyperlink" Target="https://learn.microsoft.com/en-us/previous-versions/windows/it-pro/windows-10/security/threat-protection/auditing/event-4732" TargetMode="External"/><Relationship Id="rId14" Type="http://schemas.openxmlformats.org/officeDocument/2006/relationships/hyperlink" Target="https://learn.microsoft.com/en-us/previous-versions/windows/it-pro/windows-10/security/threat-protection/auditing/event-4634"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learn.microsoft.com/en-us/previous-versions/windows/it-pro/windows-10/security/threat-protection/auditing/event-4697" TargetMode="External"/><Relationship Id="rId3" Type="http://schemas.openxmlformats.org/officeDocument/2006/relationships/hyperlink" Target="https://learn.microsoft.com/en-us/previous-versions/windows/it-pro/windows-10/security/threat-protection/auditing/event-4697" TargetMode="External"/><Relationship Id="rId7" Type="http://schemas.openxmlformats.org/officeDocument/2006/relationships/hyperlink" Target="https://learn.microsoft.com/en-us/previous-versions/windows/it-pro/windows-10/security/threat-protection/auditing/event-4699" TargetMode="External"/><Relationship Id="rId2" Type="http://schemas.openxmlformats.org/officeDocument/2006/relationships/hyperlink" Target="https://learn.microsoft.com/en-us/previous-versions/windows/it-pro/windows-10/security/threat-protection/auditing/event-4688" TargetMode="External"/><Relationship Id="rId1" Type="http://schemas.openxmlformats.org/officeDocument/2006/relationships/hyperlink" Target="https://learn.microsoft.com/en-us/previous-versions/windows/it-pro/windows-10/security/threat-protection/auditing/event-4689" TargetMode="External"/><Relationship Id="rId6" Type="http://schemas.openxmlformats.org/officeDocument/2006/relationships/hyperlink" Target="https://learn.microsoft.com/en-us/previous-versions/windows/it-pro/windows-10/security/threat-protection/auditing/event-4703" TargetMode="External"/><Relationship Id="rId5" Type="http://schemas.openxmlformats.org/officeDocument/2006/relationships/hyperlink" Target="https://learn.microsoft.com/en-us/previous-versions/windows/it-pro/windows-10/security/threat-protection/auditing/event-4702" TargetMode="External"/><Relationship Id="rId4" Type="http://schemas.openxmlformats.org/officeDocument/2006/relationships/hyperlink" Target="https://learn.microsoft.com/en-us/previous-versions/windows/it-pro/windows-10/security/threat-protection/auditing/event-4698"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learn.microsoft.com/en-us/previous-versions/windows/it-pro/windows-10/security/threat-protection/auditing/event-4704" TargetMode="External"/><Relationship Id="rId13" Type="http://schemas.openxmlformats.org/officeDocument/2006/relationships/hyperlink" Target="https://learn.microsoft.com/en-us/previous-versions/windows/it-pro/windows-10/security/threat-protection/auditing/event-4660" TargetMode="External"/><Relationship Id="rId3" Type="http://schemas.openxmlformats.org/officeDocument/2006/relationships/hyperlink" Target="https://learn.microsoft.com/en-us/previous-versions/windows/it-pro/windows-10/security/threat-protection/auditing/event-4663" TargetMode="External"/><Relationship Id="rId7" Type="http://schemas.openxmlformats.org/officeDocument/2006/relationships/hyperlink" Target="https://learn.microsoft.com/en-us/previous-versions/windows/it-pro/windows-10/security/threat-protection/auditing/event-4715" TargetMode="External"/><Relationship Id="rId12" Type="http://schemas.openxmlformats.org/officeDocument/2006/relationships/hyperlink" Target="https://learn.microsoft.com/en-us/previous-versions/windows/it-pro/windows-10/security/threat-protection/auditing/event-5140" TargetMode="External"/><Relationship Id="rId2" Type="http://schemas.openxmlformats.org/officeDocument/2006/relationships/hyperlink" Target="https://learn.microsoft.com/en-us/previous-versions/windows/it-pro/windows-10/security/threat-protection/auditing/event-4657" TargetMode="External"/><Relationship Id="rId16" Type="http://schemas.openxmlformats.org/officeDocument/2006/relationships/hyperlink" Target="https://learn.microsoft.com/en-us/previous-versions/windows/it-pro/windows-10/security/threat-protection/auditing/event-4907" TargetMode="External"/><Relationship Id="rId1" Type="http://schemas.openxmlformats.org/officeDocument/2006/relationships/hyperlink" Target="https://learn.microsoft.com/en-us/previous-versions/windows/it-pro/windows-10/security/threat-protection/auditing/event-4656" TargetMode="External"/><Relationship Id="rId6" Type="http://schemas.openxmlformats.org/officeDocument/2006/relationships/hyperlink" Target="https://learn.microsoft.com/en-us/previous-versions/windows/it-pro/windows-10/security/threat-protection/auditing/event-4912" TargetMode="External"/><Relationship Id="rId11" Type="http://schemas.openxmlformats.org/officeDocument/2006/relationships/hyperlink" Target="https://learn.microsoft.com/en-us/previous-versions/windows/it-pro/windows-10/security/threat-protection/auditing/event-5145" TargetMode="External"/><Relationship Id="rId5" Type="http://schemas.openxmlformats.org/officeDocument/2006/relationships/hyperlink" Target="https://learn.microsoft.com/en-us/previous-versions/windows/it-pro/windows-10/security/threat-protection/auditing/event-4670" TargetMode="External"/><Relationship Id="rId15" Type="http://schemas.openxmlformats.org/officeDocument/2006/relationships/hyperlink" Target="https://learn.microsoft.com/en-us/previous-versions/windows/it-pro/windows-10/security/threat-protection/auditing/event-4906" TargetMode="External"/><Relationship Id="rId10" Type="http://schemas.openxmlformats.org/officeDocument/2006/relationships/hyperlink" Target="https://learn.microsoft.com/en-us/previous-versions/windows/it-pro/windows-10/security/threat-protection/auditing/event-5142" TargetMode="External"/><Relationship Id="rId4" Type="http://schemas.openxmlformats.org/officeDocument/2006/relationships/hyperlink" Target="https://learn.microsoft.com/en-us/previous-versions/windows/it-pro/windows-10/security/threat-protection/auditing/event-4662" TargetMode="External"/><Relationship Id="rId9" Type="http://schemas.openxmlformats.org/officeDocument/2006/relationships/hyperlink" Target="https://learn.microsoft.com/en-us/previous-versions/windows/it-pro/windows-10/security/threat-protection/auditing/event-4719" TargetMode="External"/><Relationship Id="rId14" Type="http://schemas.openxmlformats.org/officeDocument/2006/relationships/hyperlink" Target="https://learn.microsoft.com/en-us/previous-versions/windows/it-pro/windows-10/security/threat-protection/auditing/event-4904"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learn.microsoft.com/en-us/previous-versions/windows/it-pro/windows-10/security/threat-protection/auditing/event-4799" TargetMode="External"/><Relationship Id="rId7" Type="http://schemas.openxmlformats.org/officeDocument/2006/relationships/hyperlink" Target="https://learn.microsoft.com/en-us/powershell/module/microsoft.powershell.core/about/about_logging_windows?view=powershell-7.4" TargetMode="External"/><Relationship Id="rId2" Type="http://schemas.openxmlformats.org/officeDocument/2006/relationships/hyperlink" Target="https://learn.microsoft.com/en-us/previous-versions/windows/it-pro/windows-10/security/threat-protection/auditing/event-4798" TargetMode="External"/><Relationship Id="rId1" Type="http://schemas.openxmlformats.org/officeDocument/2006/relationships/hyperlink" Target="https://learn.microsoft.com/en-us/previous-versions/windows/it-pro/windows-10/security/threat-protection/auditing/event-4103" TargetMode="External"/><Relationship Id="rId6" Type="http://schemas.openxmlformats.org/officeDocument/2006/relationships/hyperlink" Target="https://learn.microsoft.com/en-us/previous-versions/windows/it-pro/windows-10/security/threat-protection/auditing/event-5137" TargetMode="External"/><Relationship Id="rId5" Type="http://schemas.openxmlformats.org/officeDocument/2006/relationships/hyperlink" Target="https://learn.microsoft.com/en-us/previous-versions/windows/it-pro/windows-10/security/threat-protection/auditing/event-5138" TargetMode="External"/><Relationship Id="rId4" Type="http://schemas.openxmlformats.org/officeDocument/2006/relationships/hyperlink" Target="https://learn.microsoft.com/en-us/previous-versions/windows/it-pro/windows-10/security/threat-protection/auditing/event-5136"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learn.microsoft.com/en-us/previous-versions/windows/it-pro/windows-10/security/threat-protection/auditing/event-5031" TargetMode="External"/><Relationship Id="rId3" Type="http://schemas.openxmlformats.org/officeDocument/2006/relationships/hyperlink" Target="https://learn.microsoft.com/en-us/previous-versions/windows/it-pro/windows-10/security/threat-protection/auditing/event-1102" TargetMode="External"/><Relationship Id="rId7" Type="http://schemas.openxmlformats.org/officeDocument/2006/relationships/hyperlink" Target="https://learn.microsoft.com/en-us/previous-versions/windows/it-pro/windows-10/security/threat-protection/auditing/event-5157" TargetMode="External"/><Relationship Id="rId2" Type="http://schemas.openxmlformats.org/officeDocument/2006/relationships/hyperlink" Target="https://learn.microsoft.com/en-us/previous-versions/windows/it-pro/windows-10/security/threat-protection/auditing/event-4616" TargetMode="External"/><Relationship Id="rId1" Type="http://schemas.openxmlformats.org/officeDocument/2006/relationships/hyperlink" Target="https://learn.microsoft.com/en-us/previous-versions/windows/it-pro/windows-10/security/threat-protection/auditing/event-4608" TargetMode="External"/><Relationship Id="rId6" Type="http://schemas.openxmlformats.org/officeDocument/2006/relationships/hyperlink" Target="https://learn.microsoft.com/en-us/previous-versions/windows/it-pro/windows-10/security/threat-protection/auditing/event-4947" TargetMode="External"/><Relationship Id="rId5" Type="http://schemas.openxmlformats.org/officeDocument/2006/relationships/hyperlink" Target="https://learn.microsoft.com/en-us/previous-versions/windows/it-pro/windows-10/security/threat-protection/auditing/event-5156" TargetMode="External"/><Relationship Id="rId4" Type="http://schemas.openxmlformats.org/officeDocument/2006/relationships/hyperlink" Target="https://learn.microsoft.com/en-us/previous-versions/windows/it-pro/windows-10/security/threat-protection/auditing/event-4946"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learn.microsoft.com/en-us/sysmon/event-255" TargetMode="External"/></Relationships>
</file>

<file path=xl/worksheets/_rels/sheet12.xml.rels><?xml version="1.0" encoding="UTF-8" standalone="yes"?>
<Relationships xmlns="http://schemas.openxmlformats.org/package/2006/relationships"><Relationship Id="rId26" Type="http://schemas.openxmlformats.org/officeDocument/2006/relationships/hyperlink" Target="https://learn.microsoft.com/en-us/previous-versions/windows/it-pro/windows-10/security/threat-protection/auditing/event-4672" TargetMode="External"/><Relationship Id="rId21" Type="http://schemas.openxmlformats.org/officeDocument/2006/relationships/hyperlink" Target="https://learn.microsoft.com/en-us/previous-versions/windows/it-pro/windows-10/security/threat-protection/auditing/event-4702" TargetMode="External"/><Relationship Id="rId42" Type="http://schemas.openxmlformats.org/officeDocument/2006/relationships/hyperlink" Target="https://learn.microsoft.com/en-us/previous-versions/windows/it-pro/windows-10/security/threat-protection/auditing/event-4738" TargetMode="External"/><Relationship Id="rId47" Type="http://schemas.openxmlformats.org/officeDocument/2006/relationships/hyperlink" Target="https://learn.microsoft.com/en-us/previous-versions/windows/it-pro/windows-10/security/threat-protection/auditing/event-4715" TargetMode="External"/><Relationship Id="rId63" Type="http://schemas.openxmlformats.org/officeDocument/2006/relationships/hyperlink" Target="https://learn.microsoft.com/en-us/previous-versions/windows/it-pro/windows-10/security/threat-protection/auditing/event-4906" TargetMode="External"/><Relationship Id="rId68" Type="http://schemas.openxmlformats.org/officeDocument/2006/relationships/hyperlink" Target="https://learn.microsoft.com/en-us/previous-versions/windows/it-pro/windows-10/security/threat-protection/auditing/event-4611" TargetMode="External"/><Relationship Id="rId84" Type="http://schemas.openxmlformats.org/officeDocument/2006/relationships/hyperlink" Target="https://learn.microsoft.com/en-us/previous-versions/windows/it-pro/windows-10/security/threat-protection/auditing/event-1101" TargetMode="External"/><Relationship Id="rId89" Type="http://schemas.openxmlformats.org/officeDocument/2006/relationships/hyperlink" Target="https://learn.microsoft.com/en-us/previous-versions/windows/it-pro/windows-10/security/threat-protection/auditing/event-4647" TargetMode="External"/><Relationship Id="rId16" Type="http://schemas.openxmlformats.org/officeDocument/2006/relationships/hyperlink" Target="https://learn.microsoft.com/en-us/previous-versions/windows/it-pro/windows-10/security/threat-protection/auditing/event-4732" TargetMode="External"/><Relationship Id="rId11" Type="http://schemas.openxmlformats.org/officeDocument/2006/relationships/hyperlink" Target="https://learn.microsoft.com/en-us/previous-versions/windows/it-pro/windows-10/security/threat-protection/auditing/event-4722" TargetMode="External"/><Relationship Id="rId32" Type="http://schemas.openxmlformats.org/officeDocument/2006/relationships/hyperlink" Target="https://learn.microsoft.com/en-us/previous-versions/windows/it-pro/windows-10/security/threat-protection/auditing/event-5156" TargetMode="External"/><Relationship Id="rId37" Type="http://schemas.openxmlformats.org/officeDocument/2006/relationships/hyperlink" Target="https://learn.microsoft.com/en-us/previous-versions/windows/it-pro/windows-10/security/threat-protection/auditing/event-4779" TargetMode="External"/><Relationship Id="rId53" Type="http://schemas.openxmlformats.org/officeDocument/2006/relationships/hyperlink" Target="https://learn.microsoft.com/en-us/previous-versions/windows/it-pro/windows-10/security/threat-protection/auditing/event-5138" TargetMode="External"/><Relationship Id="rId58" Type="http://schemas.openxmlformats.org/officeDocument/2006/relationships/hyperlink" Target="https://learn.microsoft.com/en-us/previous-versions/windows/it-pro/windows-10/security/threat-protection/auditing/event-4703" TargetMode="External"/><Relationship Id="rId74" Type="http://schemas.openxmlformats.org/officeDocument/2006/relationships/hyperlink" Target="https://learn.microsoft.com/en-us/previous-versions/windows/it-pro/windows-10/security/threat-protection/auditing/event-4626" TargetMode="External"/><Relationship Id="rId79" Type="http://schemas.openxmlformats.org/officeDocument/2006/relationships/hyperlink" Target="https://learn.microsoft.com/en-us/previous-versions/windows/it-pro/windows-10/security/threat-protection/auditing/event-4733" TargetMode="External"/><Relationship Id="rId102" Type="http://schemas.openxmlformats.org/officeDocument/2006/relationships/hyperlink" Target="https://learn.microsoft.com/en-us/troubleshoot/windows-server/remote/troubleshoot-remote-desktop-connections" TargetMode="External"/><Relationship Id="rId5" Type="http://schemas.openxmlformats.org/officeDocument/2006/relationships/hyperlink" Target="https://learn.microsoft.com/en-us/previous-versions/windows/it-pro/windows-10/security/threat-protection/auditing/event-4648" TargetMode="External"/><Relationship Id="rId90" Type="http://schemas.openxmlformats.org/officeDocument/2006/relationships/hyperlink" Target="https://learn.microsoft.com/en-us/previous-versions/windows/it-pro/windows-10/security/threat-protection/auditing/event-4700" TargetMode="External"/><Relationship Id="rId95" Type="http://schemas.openxmlformats.org/officeDocument/2006/relationships/hyperlink" Target="https://learn.microsoft.com/en-us/windows/security/threat-protection/auditing/event-4649" TargetMode="External"/><Relationship Id="rId22" Type="http://schemas.openxmlformats.org/officeDocument/2006/relationships/hyperlink" Target="https://learn.microsoft.com/en-us/previous-versions/windows/it-pro/windows-10/security/threat-protection/auditing/event-4656" TargetMode="External"/><Relationship Id="rId27" Type="http://schemas.openxmlformats.org/officeDocument/2006/relationships/hyperlink" Target="https://learn.microsoft.com/en-us/previous-versions/windows/it-pro/windows-10/security/threat-protection/auditing/event-4673" TargetMode="External"/><Relationship Id="rId43" Type="http://schemas.openxmlformats.org/officeDocument/2006/relationships/hyperlink" Target="https://learn.microsoft.com/en-us/previous-versions/windows/it-pro/windows-10/security/threat-protection/auditing/event-4754" TargetMode="External"/><Relationship Id="rId48" Type="http://schemas.openxmlformats.org/officeDocument/2006/relationships/hyperlink" Target="https://learn.microsoft.com/en-us/previous-versions/windows/it-pro/windows-10/security/threat-protection/auditing/event-4704" TargetMode="External"/><Relationship Id="rId64" Type="http://schemas.openxmlformats.org/officeDocument/2006/relationships/hyperlink" Target="https://learn.microsoft.com/en-us/previous-versions/windows/it-pro/windows-10/security/threat-protection/auditing/event-4907" TargetMode="External"/><Relationship Id="rId69" Type="http://schemas.openxmlformats.org/officeDocument/2006/relationships/hyperlink" Target="https://learn.microsoft.com/en-us/previous-versions/windows/it-pro/windows-10/security/threat-protection/auditing/event-4665" TargetMode="External"/><Relationship Id="rId80" Type="http://schemas.openxmlformats.org/officeDocument/2006/relationships/hyperlink" Target="https://learn.microsoft.com/en-us/previous-versions/windows/it-pro/windows-10/security/threat-protection/auditing/event-4741" TargetMode="External"/><Relationship Id="rId85" Type="http://schemas.openxmlformats.org/officeDocument/2006/relationships/hyperlink" Target="https://learn.microsoft.com/en-us/previous-versions/windows/it-pro/windows-10/security/threat-protection/auditing/event-1104" TargetMode="External"/><Relationship Id="rId12" Type="http://schemas.openxmlformats.org/officeDocument/2006/relationships/hyperlink" Target="https://learn.microsoft.com/en-us/previous-versions/windows/it-pro/windows-10/security/threat-protection/auditing/event-4720" TargetMode="External"/><Relationship Id="rId17" Type="http://schemas.openxmlformats.org/officeDocument/2006/relationships/hyperlink" Target="https://learn.microsoft.com/en-us/previous-versions/windows/it-pro/windows-10/security/threat-protection/auditing/event-4689" TargetMode="External"/><Relationship Id="rId33" Type="http://schemas.openxmlformats.org/officeDocument/2006/relationships/hyperlink" Target="https://learn.microsoft.com/en-us/previous-versions/windows/it-pro/windows-10/security/threat-protection/auditing/event-4947" TargetMode="External"/><Relationship Id="rId38" Type="http://schemas.openxmlformats.org/officeDocument/2006/relationships/hyperlink" Target="https://learn.microsoft.com/en-us/previous-versions/windows/it-pro/windows-10/security/threat-protection/auditing/event-4800" TargetMode="External"/><Relationship Id="rId59" Type="http://schemas.openxmlformats.org/officeDocument/2006/relationships/hyperlink" Target="https://learn.microsoft.com/en-us/previous-versions/windows/it-pro/windows-10/security/threat-protection/auditing/event-4782" TargetMode="External"/><Relationship Id="rId103" Type="http://schemas.openxmlformats.org/officeDocument/2006/relationships/hyperlink" Target="https://learn.microsoft.com/en-us/troubleshoot/windows-server/remote/troubleshoot-remote-desktop-connections" TargetMode="External"/><Relationship Id="rId20" Type="http://schemas.openxmlformats.org/officeDocument/2006/relationships/hyperlink" Target="https://learn.microsoft.com/en-us/previous-versions/windows/it-pro/windows-10/security/threat-protection/auditing/event-4698" TargetMode="External"/><Relationship Id="rId41" Type="http://schemas.openxmlformats.org/officeDocument/2006/relationships/hyperlink" Target="https://learn.microsoft.com/en-us/previous-versions/windows/it-pro/windows-10/security/threat-protection/auditing/event-4767" TargetMode="External"/><Relationship Id="rId54" Type="http://schemas.openxmlformats.org/officeDocument/2006/relationships/hyperlink" Target="https://learn.microsoft.com/en-us/previous-versions/windows/it-pro/windows-10/security/threat-protection/auditing/event-5137" TargetMode="External"/><Relationship Id="rId62" Type="http://schemas.openxmlformats.org/officeDocument/2006/relationships/hyperlink" Target="https://learn.microsoft.com/en-us/previous-versions/windows/it-pro/windows-10/security/threat-protection/auditing/event-4904" TargetMode="External"/><Relationship Id="rId70" Type="http://schemas.openxmlformats.org/officeDocument/2006/relationships/hyperlink" Target="https://learn.microsoft.com/en-us/previous-versions/windows/it-pro/windows-10/security/threat-protection/auditing/event-4690" TargetMode="External"/><Relationship Id="rId75" Type="http://schemas.openxmlformats.org/officeDocument/2006/relationships/hyperlink" Target="https://learn.microsoft.com/en-us/previous-versions/windows/it-pro/windows-10/security/threat-protection/auditing/event-4627" TargetMode="External"/><Relationship Id="rId83" Type="http://schemas.openxmlformats.org/officeDocument/2006/relationships/hyperlink" Target="https://learn.microsoft.com/en-us/previous-versions/windows/it-pro/windows-10/security/threat-protection/auditing/event-4816" TargetMode="External"/><Relationship Id="rId88" Type="http://schemas.openxmlformats.org/officeDocument/2006/relationships/hyperlink" Target="https://learn.microsoft.com/en-us/previous-versions/windows/it-pro/windows-10/security/threat-protection/auditing/event-4609" TargetMode="External"/><Relationship Id="rId91" Type="http://schemas.openxmlformats.org/officeDocument/2006/relationships/hyperlink" Target="https://learn.microsoft.com/en-us/previous-versions/windows/it-pro/windows-10/security/threat-protection/auditing/event-4701" TargetMode="External"/><Relationship Id="rId96" Type="http://schemas.openxmlformats.org/officeDocument/2006/relationships/hyperlink" Target="https://learn.microsoft.com/en-us/microsoft-365/security/defender-endpoint/troubleshoot-microsoft-defender-antivirus" TargetMode="External"/><Relationship Id="rId1" Type="http://schemas.openxmlformats.org/officeDocument/2006/relationships/hyperlink" Target="https://learn.microsoft.com/en-us/previous-versions/windows/it-pro/windows-10/security/threat-protection/auditing/event-4768%7babcFF%7d" TargetMode="External"/><Relationship Id="rId6" Type="http://schemas.openxmlformats.org/officeDocument/2006/relationships/hyperlink" Target="https://learn.microsoft.com/en-us/previous-versions/windows/it-pro/windows-10/security/threat-protection/auditing/event-4769" TargetMode="External"/><Relationship Id="rId15" Type="http://schemas.openxmlformats.org/officeDocument/2006/relationships/hyperlink" Target="https://learn.microsoft.com/en-us/previous-versions/windows/it-pro/windows-10/security/threat-protection/auditing/event-4729" TargetMode="External"/><Relationship Id="rId23" Type="http://schemas.openxmlformats.org/officeDocument/2006/relationships/hyperlink" Target="https://learn.microsoft.com/en-us/previous-versions/windows/it-pro/windows-10/security/threat-protection/auditing/event-4657" TargetMode="External"/><Relationship Id="rId28" Type="http://schemas.openxmlformats.org/officeDocument/2006/relationships/hyperlink" Target="https://learn.microsoft.com/en-us/previous-versions/windows/it-pro/windows-10/security/threat-protection/auditing/event-4608" TargetMode="External"/><Relationship Id="rId36" Type="http://schemas.openxmlformats.org/officeDocument/2006/relationships/hyperlink" Target="https://learn.microsoft.com/en-us/previous-versions/windows/it-pro/windows-10/security/threat-protection/auditing/event-4778" TargetMode="External"/><Relationship Id="rId49" Type="http://schemas.openxmlformats.org/officeDocument/2006/relationships/hyperlink" Target="https://learn.microsoft.com/en-us/windows/security/threat-protection/auditing/event-4719" TargetMode="External"/><Relationship Id="rId57" Type="http://schemas.openxmlformats.org/officeDocument/2006/relationships/hyperlink" Target="https://learn.microsoft.com/en-us/previous-versions/windows/it-pro/windows-10/security/threat-protection/auditing/event-5140" TargetMode="External"/><Relationship Id="rId106" Type="http://schemas.openxmlformats.org/officeDocument/2006/relationships/comments" Target="../comments1.xml"/><Relationship Id="rId10" Type="http://schemas.openxmlformats.org/officeDocument/2006/relationships/hyperlink" Target="https://learn.microsoft.com/en-us/previous-versions/windows/it-pro/windows-10/security/threat-protection/auditing/event-4724" TargetMode="External"/><Relationship Id="rId31" Type="http://schemas.openxmlformats.org/officeDocument/2006/relationships/hyperlink" Target="https://learn.microsoft.com/en-us/previous-versions/windows/it-pro/windows-10/security/threat-protection/auditing/event-4946" TargetMode="External"/><Relationship Id="rId44" Type="http://schemas.openxmlformats.org/officeDocument/2006/relationships/hyperlink" Target="https://learn.microsoft.com/en-us/previous-versions/windows/it-pro/windows-10/security/threat-protection/auditing/event-4755" TargetMode="External"/><Relationship Id="rId52" Type="http://schemas.openxmlformats.org/officeDocument/2006/relationships/hyperlink" Target="https://learn.microsoft.com/en-us/previous-versions/windows/it-pro/windows-10/security/threat-protection/auditing/event-5136" TargetMode="External"/><Relationship Id="rId60" Type="http://schemas.openxmlformats.org/officeDocument/2006/relationships/hyperlink" Target="https://learn.microsoft.com/en-us/previous-versions/windows/it-pro/windows-10/security/threat-protection/auditing/event-5031" TargetMode="External"/><Relationship Id="rId65" Type="http://schemas.openxmlformats.org/officeDocument/2006/relationships/hyperlink" Target="https://learn.microsoft.com/en-us/previous-versions/windows/it-pro/windows-10/security/threat-protection/auditing/event-4634" TargetMode="External"/><Relationship Id="rId73" Type="http://schemas.openxmlformats.org/officeDocument/2006/relationships/hyperlink" Target="https://learn.microsoft.com/en-us/previous-versions/windows/it-pro/windows-10/security/threat-protection/auditing/event-4897" TargetMode="External"/><Relationship Id="rId78" Type="http://schemas.openxmlformats.org/officeDocument/2006/relationships/hyperlink" Target="https://learn.microsoft.com/en-us/previous-versions/windows/it-pro/windows-10/security/threat-protection/auditing/event-4718" TargetMode="External"/><Relationship Id="rId81" Type="http://schemas.openxmlformats.org/officeDocument/2006/relationships/hyperlink" Target="https://learn.microsoft.com/en-us/previous-versions/windows/it-pro/windows-10/security/threat-protection/auditing/event-4743" TargetMode="External"/><Relationship Id="rId86" Type="http://schemas.openxmlformats.org/officeDocument/2006/relationships/hyperlink" Target="https://learn.microsoft.com/en-us/previous-versions/windows/it-pro/windows-10/security/threat-protection/auditing/event-1105" TargetMode="External"/><Relationship Id="rId94" Type="http://schemas.openxmlformats.org/officeDocument/2006/relationships/hyperlink" Target="https://learn.microsoft.com/en-us/windows/security/threat-protection/auditing/event-4706" TargetMode="External"/><Relationship Id="rId99" Type="http://schemas.openxmlformats.org/officeDocument/2006/relationships/hyperlink" Target="https://learn.microsoft.com/en-us/windows-server/remote/remote-desktop-services/welcome-to-rds" TargetMode="External"/><Relationship Id="rId101" Type="http://schemas.openxmlformats.org/officeDocument/2006/relationships/hyperlink" Target="https://learn.microsoft.com/en-us/troubleshoot/windows-server/remote/troubleshoot-remote-desktop-connections" TargetMode="External"/><Relationship Id="rId4" Type="http://schemas.openxmlformats.org/officeDocument/2006/relationships/hyperlink" Target="https://learn.microsoft.com/en-us/previous-versions/windows/it-pro/windows-10/security/threat-protection/auditing/event-4625" TargetMode="External"/><Relationship Id="rId9" Type="http://schemas.openxmlformats.org/officeDocument/2006/relationships/hyperlink" Target="https://learn.microsoft.com/en-us/previous-versions/windows/it-pro/windows-10/security/threat-protection/auditing/event-4725" TargetMode="External"/><Relationship Id="rId13" Type="http://schemas.openxmlformats.org/officeDocument/2006/relationships/hyperlink" Target="https://learn.microsoft.com/en-us/previous-versions/windows/it-pro/windows-10/security/threat-protection/auditing/event-4726" TargetMode="External"/><Relationship Id="rId18" Type="http://schemas.openxmlformats.org/officeDocument/2006/relationships/hyperlink" Target="https://learn.microsoft.com/en-us/previous-versions/windows/it-pro/windows-10/security/threat-protection/auditing/event-4688" TargetMode="External"/><Relationship Id="rId39" Type="http://schemas.openxmlformats.org/officeDocument/2006/relationships/hyperlink" Target="https://learn.microsoft.com/en-us/previous-versions/windows/it-pro/windows-10/security/threat-protection/auditing/event-4801" TargetMode="External"/><Relationship Id="rId34" Type="http://schemas.openxmlformats.org/officeDocument/2006/relationships/hyperlink" Target="https://learn.microsoft.com/en-us/previous-versions/windows/it-pro/windows-10/security/threat-protection/auditing/event-5157" TargetMode="External"/><Relationship Id="rId50" Type="http://schemas.openxmlformats.org/officeDocument/2006/relationships/hyperlink" Target="https://learn.microsoft.com/en-us/previous-versions/windows/it-pro/windows-10/security/threat-protection/auditing/event-4798" TargetMode="External"/><Relationship Id="rId55" Type="http://schemas.openxmlformats.org/officeDocument/2006/relationships/hyperlink" Target="https://learn.microsoft.com/en-us/previous-versions/windows/it-pro/windows-10/security/threat-protection/auditing/event-5142" TargetMode="External"/><Relationship Id="rId76" Type="http://schemas.openxmlformats.org/officeDocument/2006/relationships/hyperlink" Target="https://learn.microsoft.com/en-us/previous-versions/windows/it-pro/windows-10/security/threat-protection/auditing/event-4674" TargetMode="External"/><Relationship Id="rId97" Type="http://schemas.openxmlformats.org/officeDocument/2006/relationships/hyperlink" Target="https://learn.microsoft.com/en-us/windows-server/remote/remote-desktop-services/welcome-to-rds" TargetMode="External"/><Relationship Id="rId104" Type="http://schemas.openxmlformats.org/officeDocument/2006/relationships/printerSettings" Target="../printerSettings/printerSettings1.bin"/><Relationship Id="rId7" Type="http://schemas.openxmlformats.org/officeDocument/2006/relationships/hyperlink" Target="https://learn.microsoft.com/en-us/previous-versions/windows/it-pro/windows-10/security/threat-protection/auditing/event-4776" TargetMode="External"/><Relationship Id="rId71" Type="http://schemas.openxmlformats.org/officeDocument/2006/relationships/hyperlink" Target="https://learn.microsoft.com/en-us/previous-versions/windows/it-pro/windows-10/security/threat-protection/auditing/event-4696" TargetMode="External"/><Relationship Id="rId92" Type="http://schemas.openxmlformats.org/officeDocument/2006/relationships/hyperlink" Target="https://learn.microsoft.com/en-us/previous-versions/windows/it-pro/windows-10/security/threat-protection/auditing/event-4902" TargetMode="External"/><Relationship Id="rId2" Type="http://schemas.openxmlformats.org/officeDocument/2006/relationships/hyperlink" Target="https://learn.microsoft.com/en-us/previous-versions/windows/it-pro/windows-10/security/threat-protection/auditing/event-4624" TargetMode="External"/><Relationship Id="rId29" Type="http://schemas.openxmlformats.org/officeDocument/2006/relationships/hyperlink" Target="https://learn.microsoft.com/en-us/previous-versions/windows/it-pro/windows-10/security/threat-protection/auditing/event-4616" TargetMode="External"/><Relationship Id="rId24" Type="http://schemas.openxmlformats.org/officeDocument/2006/relationships/hyperlink" Target="https://learn.microsoft.com/en-us/previous-versions/windows/it-pro/windows-10/security/threat-protection/auditing/event-4663" TargetMode="External"/><Relationship Id="rId40" Type="http://schemas.openxmlformats.org/officeDocument/2006/relationships/hyperlink" Target="https://learn.microsoft.com/en-us/previous-versions/windows/it-pro/windows-10/security/threat-protection/auditing/event-4771" TargetMode="External"/><Relationship Id="rId45" Type="http://schemas.openxmlformats.org/officeDocument/2006/relationships/hyperlink" Target="https://learn.microsoft.com/en-us/previous-versions/windows/it-pro/windows-10/security/threat-protection/auditing/event-4670" TargetMode="External"/><Relationship Id="rId66" Type="http://schemas.openxmlformats.org/officeDocument/2006/relationships/hyperlink" Target="https://learn.microsoft.com/en-us/powershell/module/microsoft.powershell.core/about/about_logging_windows?view=powershell-7.4" TargetMode="External"/><Relationship Id="rId87" Type="http://schemas.openxmlformats.org/officeDocument/2006/relationships/hyperlink" Target="https://learn.microsoft.com/en-us/previous-versions/windows/it-pro/windows-10/security/threat-protection/auditing/event-1108" TargetMode="External"/><Relationship Id="rId61" Type="http://schemas.openxmlformats.org/officeDocument/2006/relationships/hyperlink" Target="https://learn.microsoft.com/en-us/previous-versions/windows/it-pro/windows-10/security/threat-protection/auditing/event-4660" TargetMode="External"/><Relationship Id="rId82" Type="http://schemas.openxmlformats.org/officeDocument/2006/relationships/hyperlink" Target="https://learn.microsoft.com/en-us/previous-versions/windows/it-pro/windows-10/security/threat-protection/auditing/event-4794" TargetMode="External"/><Relationship Id="rId19" Type="http://schemas.openxmlformats.org/officeDocument/2006/relationships/hyperlink" Target="https://learn.microsoft.com/en-us/previous-versions/windows/it-pro/windows-10/security/threat-protection/auditing/event-4697" TargetMode="External"/><Relationship Id="rId14" Type="http://schemas.openxmlformats.org/officeDocument/2006/relationships/hyperlink" Target="https://learn.microsoft.com/en-us/previous-versions/windows/it-pro/windows-10/security/threat-protection/auditing/event-4728" TargetMode="External"/><Relationship Id="rId30" Type="http://schemas.openxmlformats.org/officeDocument/2006/relationships/hyperlink" Target="https://learn.microsoft.com/en-us/previous-versions/windows/it-pro/windows-10/security/threat-protection/auditing/event-1102" TargetMode="External"/><Relationship Id="rId35" Type="http://schemas.openxmlformats.org/officeDocument/2006/relationships/hyperlink" Target="https://learn.microsoft.com/en-us/previous-versions/windows/it-pro/windows-10/security/threat-protection/auditing/event-4103" TargetMode="External"/><Relationship Id="rId56" Type="http://schemas.openxmlformats.org/officeDocument/2006/relationships/hyperlink" Target="https://learn.microsoft.com/en-us/previous-versions/windows/it-pro/windows-10/security/threat-protection/auditing/event-5145" TargetMode="External"/><Relationship Id="rId77" Type="http://schemas.openxmlformats.org/officeDocument/2006/relationships/hyperlink" Target="https://learn.microsoft.com/en-us/previous-versions/windows/it-pro/windows-10/security/threat-protection/auditing/event-4717" TargetMode="External"/><Relationship Id="rId100" Type="http://schemas.openxmlformats.org/officeDocument/2006/relationships/hyperlink" Target="https://learn.microsoft.com/en-us/windows-server/remote/remote-desktop-services/welcome-to-rds" TargetMode="External"/><Relationship Id="rId105" Type="http://schemas.openxmlformats.org/officeDocument/2006/relationships/vmlDrawing" Target="../drawings/vmlDrawing1.vml"/><Relationship Id="rId8" Type="http://schemas.openxmlformats.org/officeDocument/2006/relationships/hyperlink" Target="https://learn.microsoft.com/en-us/previous-versions/windows/it-pro/windows-10/security/threat-protection/auditing/event-4740" TargetMode="External"/><Relationship Id="rId51" Type="http://schemas.openxmlformats.org/officeDocument/2006/relationships/hyperlink" Target="https://learn.microsoft.com/en-us/previous-versions/windows/it-pro/windows-10/security/threat-protection/auditing/event-4799" TargetMode="External"/><Relationship Id="rId72" Type="http://schemas.openxmlformats.org/officeDocument/2006/relationships/hyperlink" Target="https://learn.microsoft.com/en-us/previous-versions/windows/it-pro/windows-10/security/threat-protection/auditing/event-4723" TargetMode="External"/><Relationship Id="rId93" Type="http://schemas.openxmlformats.org/officeDocument/2006/relationships/hyperlink" Target="https://learn.microsoft.com/en-us/previous-versions/windows/it-pro/windows-10/security/threat-protection/auditing/event-4697" TargetMode="External"/><Relationship Id="rId98" Type="http://schemas.openxmlformats.org/officeDocument/2006/relationships/hyperlink" Target="https://learn.microsoft.com/en-us/windows-server/remote/remote-desktop-services/rds-remotefx-vgpu" TargetMode="External"/><Relationship Id="rId3" Type="http://schemas.openxmlformats.org/officeDocument/2006/relationships/hyperlink" Target="https://learn.microsoft.com/en-us/previous-versions/windows/it-pro/windows-10/security/threat-protection/auditing/event-552" TargetMode="External"/><Relationship Id="rId25" Type="http://schemas.openxmlformats.org/officeDocument/2006/relationships/hyperlink" Target="https://learn.microsoft.com/en-us/previous-versions/windows/it-pro/windows-10/security/threat-protection/auditing/event-4662" TargetMode="External"/><Relationship Id="rId46" Type="http://schemas.openxmlformats.org/officeDocument/2006/relationships/hyperlink" Target="https://learn.microsoft.com/en-us/previous-versions/windows/it-pro/windows-10/security/threat-protection/auditing/event-4912" TargetMode="External"/><Relationship Id="rId67" Type="http://schemas.openxmlformats.org/officeDocument/2006/relationships/hyperlink" Target="https://learn.microsoft.com/en-us/previous-versions/windows/it-pro/windows-10/security/threat-protection/auditing/event-4699"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learn.microsoft.com/en-us/previous-versions/windows/it-pro/windows-10/security/threat-protection/auditing/event-4634" TargetMode="External"/><Relationship Id="rId13" Type="http://schemas.openxmlformats.org/officeDocument/2006/relationships/hyperlink" Target="https://learn.microsoft.com/en-us/previous-versions/windows/it-pro/windows-10/security/threat-protection/auditing/event-4657" TargetMode="External"/><Relationship Id="rId18" Type="http://schemas.openxmlformats.org/officeDocument/2006/relationships/hyperlink" Target="https://learn.microsoft.com/en-us/previous-versions/windows/it-pro/windows-10/security/threat-protection/auditing/event-4946" TargetMode="External"/><Relationship Id="rId3" Type="http://schemas.openxmlformats.org/officeDocument/2006/relationships/hyperlink" Target="https://learn.microsoft.com/en-us/previous-versions/windows/it-pro/windows-10/security/threat-protection/auditing/event-4776" TargetMode="External"/><Relationship Id="rId7" Type="http://schemas.openxmlformats.org/officeDocument/2006/relationships/hyperlink" Target="https://learn.microsoft.com/en-us/previous-versions/windows/it-pro/windows-10/security/threat-protection/auditing/event-4726" TargetMode="External"/><Relationship Id="rId12" Type="http://schemas.openxmlformats.org/officeDocument/2006/relationships/hyperlink" Target="https://learn.microsoft.com/en-us/previous-versions/windows/it-pro/windows-10/security/threat-protection/auditing/event-4656" TargetMode="External"/><Relationship Id="rId17" Type="http://schemas.openxmlformats.org/officeDocument/2006/relationships/hyperlink" Target="https://learn.microsoft.com/en-us/powershell/module/microsoft.powershell.core/about/about_logging_windows?view=powershell-7.4" TargetMode="External"/><Relationship Id="rId2" Type="http://schemas.openxmlformats.org/officeDocument/2006/relationships/hyperlink" Target="https://learn.microsoft.com/en-us/previous-versions/windows/it-pro/windows-10/security/threat-protection/auditing/event-4625" TargetMode="External"/><Relationship Id="rId16" Type="http://schemas.openxmlformats.org/officeDocument/2006/relationships/hyperlink" Target="https://learn.microsoft.com/en-us/previous-versions/windows/it-pro/windows-10/security/threat-protection/auditing/event-4103" TargetMode="External"/><Relationship Id="rId20" Type="http://schemas.openxmlformats.org/officeDocument/2006/relationships/hyperlink" Target="https://learn.microsoft.com/en-us/previous-versions/windows/it-pro/windows-10/security/threat-protection/auditing/event-5156" TargetMode="External"/><Relationship Id="rId1" Type="http://schemas.openxmlformats.org/officeDocument/2006/relationships/hyperlink" Target="https://learn.microsoft.com/en-us/previous-versions/windows/it-pro/windows-10/security/threat-protection/auditing/event-4624" TargetMode="External"/><Relationship Id="rId6" Type="http://schemas.openxmlformats.org/officeDocument/2006/relationships/hyperlink" Target="https://learn.microsoft.com/en-us/previous-versions/windows/it-pro/windows-10/security/threat-protection/auditing/event-4720" TargetMode="External"/><Relationship Id="rId11" Type="http://schemas.openxmlformats.org/officeDocument/2006/relationships/hyperlink" Target="https://learn.microsoft.com/en-us/previous-versions/windows/it-pro/windows-10/security/threat-protection/auditing/event-4697" TargetMode="External"/><Relationship Id="rId5" Type="http://schemas.openxmlformats.org/officeDocument/2006/relationships/hyperlink" Target="https://learn.microsoft.com/en-us/previous-versions/windows/it-pro/windows-10/security/threat-protection/auditing/event-4740" TargetMode="External"/><Relationship Id="rId15" Type="http://schemas.openxmlformats.org/officeDocument/2006/relationships/hyperlink" Target="https://learn.microsoft.com/en-us/previous-versions/windows/it-pro/windows-10/security/threat-protection/auditing/event-5140" TargetMode="External"/><Relationship Id="rId10" Type="http://schemas.openxmlformats.org/officeDocument/2006/relationships/hyperlink" Target="https://learn.microsoft.com/en-us/previous-versions/windows/it-pro/windows-10/security/threat-protection/auditing/event-4697" TargetMode="External"/><Relationship Id="rId19" Type="http://schemas.openxmlformats.org/officeDocument/2006/relationships/hyperlink" Target="https://learn.microsoft.com/en-us/previous-versions/windows/it-pro/windows-10/security/threat-protection/auditing/event-1102" TargetMode="External"/><Relationship Id="rId4" Type="http://schemas.openxmlformats.org/officeDocument/2006/relationships/hyperlink" Target="https://learn.microsoft.com/en-us/previous-versions/windows/it-pro/windows-10/security/threat-protection/auditing/event-4782" TargetMode="External"/><Relationship Id="rId9" Type="http://schemas.openxmlformats.org/officeDocument/2006/relationships/hyperlink" Target="https://learn.microsoft.com/en-us/previous-versions/windows/it-pro/windows-10/security/threat-protection/auditing/event-4688" TargetMode="External"/><Relationship Id="rId14" Type="http://schemas.openxmlformats.org/officeDocument/2006/relationships/hyperlink" Target="https://learn.microsoft.com/en-us/previous-versions/windows/it-pro/windows-10/security/threat-protection/auditing/event-5145"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access.redhat.com/articles/440959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github.com/activecm/rita"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docs.microsof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2992D-A7BC-43F5-8BC8-EC5DCDDC5851}">
  <sheetPr>
    <tabColor rgb="FFFFC000"/>
  </sheetPr>
  <dimension ref="A1:F36"/>
  <sheetViews>
    <sheetView tabSelected="1" zoomScale="175" zoomScaleNormal="175" workbookViewId="0">
      <pane ySplit="2" topLeftCell="A3" activePane="bottomLeft" state="frozen"/>
      <selection pane="bottomLeft" activeCell="A3" sqref="A3:F4"/>
    </sheetView>
  </sheetViews>
  <sheetFormatPr defaultRowHeight="15"/>
  <cols>
    <col min="1" max="1" width="5.28515625" customWidth="1"/>
    <col min="2" max="2" width="23.5703125" customWidth="1"/>
    <col min="3" max="3" width="31.140625" customWidth="1"/>
    <col min="4" max="4" width="93.28515625" customWidth="1"/>
    <col min="5" max="5" width="18.7109375" customWidth="1"/>
    <col min="6" max="6" width="58.28515625" customWidth="1"/>
  </cols>
  <sheetData>
    <row r="1" spans="1:6" ht="36" customHeight="1">
      <c r="A1" s="296" t="s">
        <v>4642</v>
      </c>
      <c r="B1" s="296"/>
      <c r="C1" s="296"/>
      <c r="D1" s="296"/>
      <c r="E1" s="296"/>
      <c r="F1" s="296"/>
    </row>
    <row r="2" spans="1:6" ht="21.95" customHeight="1">
      <c r="A2" s="297" t="s">
        <v>2388</v>
      </c>
      <c r="B2" s="297"/>
      <c r="C2" s="297"/>
      <c r="D2" s="297"/>
      <c r="E2" s="297"/>
      <c r="F2" s="297"/>
    </row>
    <row r="3" spans="1:6" ht="24.75" customHeight="1">
      <c r="A3" s="334" t="s">
        <v>4641</v>
      </c>
      <c r="B3" s="334"/>
      <c r="C3" s="334"/>
      <c r="D3" s="334"/>
      <c r="E3" s="334"/>
      <c r="F3" s="334"/>
    </row>
    <row r="4" spans="1:6" ht="21.95" customHeight="1">
      <c r="A4" s="335" t="s">
        <v>3324</v>
      </c>
      <c r="B4" s="335"/>
      <c r="C4" s="335"/>
      <c r="D4" s="335"/>
      <c r="E4" s="335"/>
      <c r="F4" s="335"/>
    </row>
    <row r="6" spans="1:6" ht="17.25">
      <c r="A6" s="298" t="s">
        <v>2389</v>
      </c>
      <c r="B6" s="298"/>
      <c r="C6" s="298"/>
      <c r="D6" s="298"/>
      <c r="E6" s="298"/>
      <c r="F6" s="298"/>
    </row>
    <row r="7" spans="1:6">
      <c r="A7" s="94" t="s">
        <v>1817</v>
      </c>
      <c r="B7" s="94" t="s">
        <v>2390</v>
      </c>
      <c r="C7" s="94" t="s">
        <v>2391</v>
      </c>
      <c r="D7" s="94" t="s">
        <v>2392</v>
      </c>
      <c r="E7" s="94" t="s">
        <v>2393</v>
      </c>
      <c r="F7" s="94" t="s">
        <v>2394</v>
      </c>
    </row>
    <row r="8" spans="1:6" ht="42" customHeight="1">
      <c r="A8" s="318">
        <v>1</v>
      </c>
      <c r="B8" s="319" t="s">
        <v>3325</v>
      </c>
      <c r="C8" s="314" t="str">
        <f>HYPERLINK("#'1)Logon'!A1","1) Logon")</f>
        <v>1) Logon</v>
      </c>
      <c r="D8" s="320" t="s">
        <v>4597</v>
      </c>
      <c r="E8" s="318" t="s">
        <v>4598</v>
      </c>
      <c r="F8" s="318" t="s">
        <v>2395</v>
      </c>
    </row>
    <row r="9" spans="1:6" ht="42" customHeight="1">
      <c r="A9" s="318">
        <v>2</v>
      </c>
      <c r="B9" s="319" t="s">
        <v>3325</v>
      </c>
      <c r="C9" s="314" t="str">
        <f>HYPERLINK("#'2)Management'!A1","2) Management")</f>
        <v>2) Management</v>
      </c>
      <c r="D9" s="320" t="s">
        <v>4599</v>
      </c>
      <c r="E9" s="318" t="s">
        <v>4598</v>
      </c>
      <c r="F9" s="318" t="s">
        <v>2396</v>
      </c>
    </row>
    <row r="10" spans="1:6" ht="42" customHeight="1">
      <c r="A10" s="318">
        <v>3</v>
      </c>
      <c r="B10" s="319" t="s">
        <v>3325</v>
      </c>
      <c r="C10" s="314" t="str">
        <f>HYPERLINK("#'3)Process&amp;Tasks'!A1","3) Process &amp; Tasks")</f>
        <v>3) Process &amp; Tasks</v>
      </c>
      <c r="D10" s="320" t="s">
        <v>4600</v>
      </c>
      <c r="E10" s="318" t="s">
        <v>4598</v>
      </c>
      <c r="F10" s="318" t="s">
        <v>2398</v>
      </c>
    </row>
    <row r="11" spans="1:6" ht="42" customHeight="1">
      <c r="A11" s="318">
        <v>4</v>
      </c>
      <c r="B11" s="319" t="s">
        <v>3325</v>
      </c>
      <c r="C11" s="314" t="str">
        <f>HYPERLINK("#'4)Audit-access'!A1","4) Audit-access")</f>
        <v>4) Audit-access</v>
      </c>
      <c r="D11" s="320" t="s">
        <v>2399</v>
      </c>
      <c r="E11" s="318" t="s">
        <v>2400</v>
      </c>
      <c r="F11" s="318" t="s">
        <v>2401</v>
      </c>
    </row>
    <row r="12" spans="1:6" ht="42" customHeight="1">
      <c r="A12" s="318">
        <v>5</v>
      </c>
      <c r="B12" s="319" t="s">
        <v>3325</v>
      </c>
      <c r="C12" s="314" t="str">
        <f>HYPERLINK("#'5)Discovery-powershell'!A1","5) Discovery &amp; PowerShell")</f>
        <v>5) Discovery &amp; PowerShell</v>
      </c>
      <c r="D12" s="320" t="s">
        <v>2409</v>
      </c>
      <c r="E12" s="318" t="s">
        <v>2402</v>
      </c>
      <c r="F12" s="318" t="s">
        <v>2398</v>
      </c>
    </row>
    <row r="13" spans="1:6" ht="42" customHeight="1">
      <c r="A13" s="318">
        <v>6</v>
      </c>
      <c r="B13" s="319" t="s">
        <v>3325</v>
      </c>
      <c r="C13" s="314" t="str">
        <f>HYPERLINK("#'6)System-Network'!A1","6) System &amp; Network")</f>
        <v>6) System &amp; Network</v>
      </c>
      <c r="D13" s="320" t="s">
        <v>4601</v>
      </c>
      <c r="E13" s="318" t="s">
        <v>4602</v>
      </c>
      <c r="F13" s="318" t="s">
        <v>2403</v>
      </c>
    </row>
    <row r="14" spans="1:6" ht="42" customHeight="1">
      <c r="A14" s="318">
        <v>7</v>
      </c>
      <c r="B14" s="319" t="s">
        <v>3325</v>
      </c>
      <c r="C14" s="314" t="str">
        <f>HYPERLINK("#'7)RDP'!A1","7) RDP")</f>
        <v>7) RDP</v>
      </c>
      <c r="D14" s="320" t="s">
        <v>2404</v>
      </c>
      <c r="E14" s="318" t="s">
        <v>2397</v>
      </c>
      <c r="F14" s="318" t="s">
        <v>2405</v>
      </c>
    </row>
    <row r="15" spans="1:6" ht="42" customHeight="1">
      <c r="A15" s="318">
        <v>8</v>
      </c>
      <c r="B15" s="319" t="s">
        <v>3325</v>
      </c>
      <c r="C15" s="314" t="str">
        <f>HYPERLINK("#'8)Sysmon'!A1","8) Sysmon")</f>
        <v>8) Sysmon</v>
      </c>
      <c r="D15" s="320" t="s">
        <v>2406</v>
      </c>
      <c r="E15" s="318" t="s">
        <v>2407</v>
      </c>
      <c r="F15" s="318" t="s">
        <v>2408</v>
      </c>
    </row>
    <row r="16" spans="1:6" ht="42" customHeight="1">
      <c r="A16" s="318">
        <v>9</v>
      </c>
      <c r="B16" s="319" t="s">
        <v>3325</v>
      </c>
      <c r="C16" s="314" t="str">
        <f>HYPERLINK("#'9)Active-Directory'!A1","9) Active-Directory")</f>
        <v>9) Active-Directory</v>
      </c>
      <c r="D16" s="320" t="s">
        <v>4603</v>
      </c>
      <c r="E16" s="318" t="s">
        <v>3768</v>
      </c>
      <c r="F16" s="318" t="s">
        <v>3769</v>
      </c>
    </row>
    <row r="17" spans="1:6" ht="42" customHeight="1">
      <c r="A17" s="321">
        <v>10</v>
      </c>
      <c r="B17" s="322" t="s">
        <v>3325</v>
      </c>
      <c r="C17" s="315" t="str">
        <f>HYPERLINK("#'10)Windows-Defender'!A1","10) Windows-Defender")</f>
        <v>10) Windows-Defender</v>
      </c>
      <c r="D17" s="323" t="s">
        <v>4604</v>
      </c>
      <c r="E17" s="321" t="s">
        <v>4605</v>
      </c>
      <c r="F17" s="321" t="s">
        <v>4606</v>
      </c>
    </row>
    <row r="18" spans="1:6" ht="42" customHeight="1">
      <c r="A18" s="318">
        <v>11</v>
      </c>
      <c r="B18" s="324" t="s">
        <v>4607</v>
      </c>
      <c r="C18" s="316" t="str">
        <f>HYPERLINK("#'WinEvents_ALL'!A1","WinEvents_ALL")</f>
        <v>WinEvents_ALL</v>
      </c>
      <c r="D18" s="318" t="s">
        <v>4608</v>
      </c>
      <c r="E18" s="318" t="s">
        <v>4609</v>
      </c>
      <c r="F18" s="318" t="s">
        <v>4610</v>
      </c>
    </row>
    <row r="19" spans="1:6" ht="42" customHeight="1">
      <c r="A19" s="318">
        <v>12</v>
      </c>
      <c r="B19" s="324" t="s">
        <v>4607</v>
      </c>
      <c r="C19" s="316" t="str">
        <f>HYPERLINK("#'Popular events'!A1","Popular events")</f>
        <v>Popular events</v>
      </c>
      <c r="D19" s="325" t="s">
        <v>4611</v>
      </c>
      <c r="E19" s="318" t="s">
        <v>3768</v>
      </c>
      <c r="F19" s="318" t="s">
        <v>4612</v>
      </c>
    </row>
    <row r="20" spans="1:6" ht="42" customHeight="1">
      <c r="A20" s="318">
        <v>13</v>
      </c>
      <c r="B20" s="326" t="s">
        <v>4613</v>
      </c>
      <c r="C20" s="316" t="str">
        <f>HYPERLINK("#'Storylines'!A1","Storylines")</f>
        <v>Storylines</v>
      </c>
      <c r="D20" s="325" t="s">
        <v>4614</v>
      </c>
      <c r="E20" s="318" t="s">
        <v>4615</v>
      </c>
      <c r="F20" s="318" t="s">
        <v>4616</v>
      </c>
    </row>
    <row r="21" spans="1:6" ht="42" customHeight="1">
      <c r="A21" s="318">
        <v>14</v>
      </c>
      <c r="B21" s="326" t="s">
        <v>4613</v>
      </c>
      <c r="C21" s="316" t="str">
        <f>HYPERLINK("#'Forensics_WIN'!A1","Forensics_WIN")</f>
        <v>Forensics_WIN</v>
      </c>
      <c r="D21" s="318" t="s">
        <v>4617</v>
      </c>
      <c r="E21" s="318" t="s">
        <v>4618</v>
      </c>
      <c r="F21" s="318" t="s">
        <v>4619</v>
      </c>
    </row>
    <row r="22" spans="1:6" ht="42" customHeight="1">
      <c r="A22" s="318">
        <v>15</v>
      </c>
      <c r="B22" s="327" t="s">
        <v>2825</v>
      </c>
      <c r="C22" s="316" t="str">
        <f>HYPERLINK("#'LINUX'!A1","LINUX")</f>
        <v>LINUX</v>
      </c>
      <c r="D22" s="318" t="s">
        <v>4620</v>
      </c>
      <c r="E22" s="318" t="s">
        <v>4621</v>
      </c>
      <c r="F22" s="318" t="s">
        <v>4622</v>
      </c>
    </row>
    <row r="23" spans="1:6" ht="42" customHeight="1">
      <c r="A23" s="318">
        <v>16</v>
      </c>
      <c r="B23" s="328" t="s">
        <v>4623</v>
      </c>
      <c r="C23" s="316" t="str">
        <f>HYPERLINK("#'Инструменты атакующих'!A1","Инструменты атакующих")</f>
        <v>Инструменты атакующих</v>
      </c>
      <c r="D23" s="318" t="s">
        <v>4624</v>
      </c>
      <c r="E23" s="318" t="s">
        <v>4625</v>
      </c>
      <c r="F23" s="318" t="s">
        <v>4626</v>
      </c>
    </row>
    <row r="24" spans="1:6" ht="42" customHeight="1">
      <c r="A24" s="318">
        <v>17</v>
      </c>
      <c r="B24" s="328" t="s">
        <v>4623</v>
      </c>
      <c r="C24" s="316" t="str">
        <f>HYPERLINK("#'Инструменты защитников'!A1","Инструменты защитников")</f>
        <v>Инструменты защитников</v>
      </c>
      <c r="D24" s="318" t="s">
        <v>4627</v>
      </c>
      <c r="E24" s="318" t="s">
        <v>4628</v>
      </c>
      <c r="F24" s="318" t="s">
        <v>4629</v>
      </c>
    </row>
    <row r="25" spans="1:6" ht="42" customHeight="1">
      <c r="A25" s="318">
        <v>18</v>
      </c>
      <c r="B25" s="329" t="s">
        <v>4630</v>
      </c>
      <c r="C25" s="316" t="str">
        <f>HYPERLINK("#'Logon types'!A1","Logon types")</f>
        <v>Logon types</v>
      </c>
      <c r="D25" s="318" t="s">
        <v>4631</v>
      </c>
      <c r="E25" s="318" t="s">
        <v>4632</v>
      </c>
      <c r="F25" s="318" t="s">
        <v>4633</v>
      </c>
    </row>
    <row r="26" spans="1:6" ht="25.5">
      <c r="A26" s="318">
        <v>19</v>
      </c>
      <c r="B26" s="330" t="s">
        <v>4630</v>
      </c>
      <c r="C26" s="313" t="str">
        <f>HYPERLINK("#'Error_4625'!A1","Error_4625")</f>
        <v>Error_4625</v>
      </c>
      <c r="D26" s="331" t="s">
        <v>4634</v>
      </c>
      <c r="E26" s="318" t="s">
        <v>4635</v>
      </c>
      <c r="F26" s="318" t="s">
        <v>2398</v>
      </c>
    </row>
    <row r="27" spans="1:6" ht="27.95" customHeight="1">
      <c r="A27" s="318">
        <v>20</v>
      </c>
      <c r="B27" s="332" t="s">
        <v>4630</v>
      </c>
      <c r="C27" s="316" t="str">
        <f>HYPERLINK("#'Error_ALL'!A1","Error_ALL")</f>
        <v>Error_ALL</v>
      </c>
      <c r="D27" s="333" t="s">
        <v>4636</v>
      </c>
      <c r="E27" s="318" t="s">
        <v>4637</v>
      </c>
      <c r="F27" s="318" t="s">
        <v>4610</v>
      </c>
    </row>
    <row r="28" spans="1:6" ht="27.75" customHeight="1">
      <c r="A28" s="318">
        <v>21</v>
      </c>
      <c r="B28" s="332" t="s">
        <v>4630</v>
      </c>
      <c r="C28" s="316" t="str">
        <f>HYPERLINK("#'Описание колонок'!A1","Описание колонок")</f>
        <v>Описание колонок</v>
      </c>
      <c r="D28" s="333" t="s">
        <v>4638</v>
      </c>
      <c r="E28" s="318" t="s">
        <v>4639</v>
      </c>
      <c r="F28" s="318" t="s">
        <v>4640</v>
      </c>
    </row>
    <row r="29" spans="1:6" ht="27.95" customHeight="1">
      <c r="A29" s="275"/>
      <c r="B29" s="276"/>
      <c r="C29" s="317"/>
      <c r="D29" s="276"/>
    </row>
    <row r="30" spans="1:6" ht="27.95" customHeight="1">
      <c r="A30" s="122"/>
      <c r="B30" s="106"/>
      <c r="C30" s="106"/>
      <c r="D30" s="123"/>
    </row>
    <row r="31" spans="1:6" ht="27.95" customHeight="1">
      <c r="A31" s="122"/>
      <c r="B31" s="106"/>
      <c r="C31" s="106"/>
      <c r="D31" s="123"/>
    </row>
    <row r="32" spans="1:6" ht="27.95" customHeight="1">
      <c r="A32" s="122"/>
      <c r="B32" s="106"/>
      <c r="C32" s="106"/>
      <c r="D32" s="123"/>
    </row>
    <row r="33" spans="1:4" ht="27.95" customHeight="1">
      <c r="A33" s="122"/>
      <c r="B33" s="106"/>
      <c r="C33" s="106"/>
      <c r="D33" s="123"/>
    </row>
    <row r="34" spans="1:4" ht="27.95" customHeight="1">
      <c r="A34" s="122"/>
      <c r="B34" s="106"/>
      <c r="C34" s="106"/>
      <c r="D34" s="106"/>
    </row>
    <row r="35" spans="1:4" ht="27.95" customHeight="1">
      <c r="A35" s="122"/>
      <c r="B35" s="106"/>
      <c r="C35" s="106"/>
      <c r="D35" s="123"/>
    </row>
    <row r="36" spans="1:4" ht="27.95" customHeight="1">
      <c r="A36" s="122"/>
      <c r="B36" s="106"/>
      <c r="C36" s="106"/>
      <c r="D36" s="123"/>
    </row>
  </sheetData>
  <mergeCells count="5">
    <mergeCell ref="A1:F1"/>
    <mergeCell ref="A2:F2"/>
    <mergeCell ref="A3:F3"/>
    <mergeCell ref="A4:F4"/>
    <mergeCell ref="A6:F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EFB23-DB5B-4461-89B0-5B24C6C0D7FB}">
  <sheetPr>
    <tabColor theme="4" tint="0.39997558519241921"/>
  </sheetPr>
  <dimension ref="A1:N16"/>
  <sheetViews>
    <sheetView zoomScale="115" zoomScaleNormal="115" workbookViewId="0"/>
  </sheetViews>
  <sheetFormatPr defaultColWidth="17.7109375" defaultRowHeight="87.75" customHeight="1"/>
  <cols>
    <col min="1" max="1" width="16.7109375" customWidth="1"/>
    <col min="2" max="2" width="10.42578125" customWidth="1"/>
    <col min="4" max="4" width="9.140625" customWidth="1"/>
    <col min="5" max="5" width="10.5703125" customWidth="1"/>
    <col min="6" max="6" width="29" customWidth="1"/>
    <col min="7" max="7" width="35.42578125" customWidth="1"/>
    <col min="8" max="8" width="42.5703125" customWidth="1"/>
    <col min="9" max="9" width="27.28515625" customWidth="1"/>
    <col min="10" max="10" width="33.42578125" customWidth="1"/>
    <col min="11" max="11" width="80.7109375" style="27" customWidth="1"/>
    <col min="13" max="13" width="66.7109375" customWidth="1"/>
    <col min="14" max="14" width="53.28515625" customWidth="1"/>
  </cols>
  <sheetData>
    <row r="1" spans="1:14" ht="87.75" customHeight="1">
      <c r="A1" s="1" t="s">
        <v>0</v>
      </c>
      <c r="B1" s="1" t="s">
        <v>1</v>
      </c>
      <c r="C1" s="1" t="s">
        <v>2</v>
      </c>
      <c r="D1" s="1" t="s">
        <v>3</v>
      </c>
      <c r="E1" s="1" t="s">
        <v>4</v>
      </c>
      <c r="F1" s="1" t="s">
        <v>6</v>
      </c>
      <c r="G1" s="1" t="s">
        <v>7</v>
      </c>
      <c r="H1" s="1" t="s">
        <v>8</v>
      </c>
      <c r="I1" s="1" t="s">
        <v>11</v>
      </c>
      <c r="J1" s="1" t="s">
        <v>12</v>
      </c>
      <c r="K1" s="4" t="s">
        <v>15</v>
      </c>
      <c r="L1" s="71" t="s">
        <v>754</v>
      </c>
      <c r="M1" s="91" t="s">
        <v>1455</v>
      </c>
      <c r="N1" s="91" t="s">
        <v>1456</v>
      </c>
    </row>
    <row r="2" spans="1:14" ht="88.5" customHeight="1">
      <c r="A2" s="48" t="s">
        <v>16</v>
      </c>
      <c r="B2" s="65">
        <v>4624</v>
      </c>
      <c r="C2" s="70" t="s">
        <v>24</v>
      </c>
      <c r="D2" s="26" t="s">
        <v>18</v>
      </c>
      <c r="E2" s="31" t="s">
        <v>20</v>
      </c>
      <c r="F2" s="26" t="s">
        <v>25</v>
      </c>
      <c r="G2" s="26" t="s">
        <v>26</v>
      </c>
      <c r="H2" s="26" t="s">
        <v>1176</v>
      </c>
      <c r="I2" s="26"/>
      <c r="J2" s="26"/>
      <c r="K2" s="5" t="s">
        <v>3341</v>
      </c>
      <c r="M2" s="89" t="s">
        <v>1457</v>
      </c>
      <c r="N2" s="89" t="s">
        <v>1458</v>
      </c>
    </row>
    <row r="3" spans="1:14" ht="87.75" customHeight="1">
      <c r="A3" s="48" t="s">
        <v>16</v>
      </c>
      <c r="B3" s="65">
        <v>4625</v>
      </c>
      <c r="C3" s="70" t="s">
        <v>27</v>
      </c>
      <c r="D3" s="26" t="s">
        <v>18</v>
      </c>
      <c r="E3" s="31" t="s">
        <v>20</v>
      </c>
      <c r="F3" s="26" t="s">
        <v>28</v>
      </c>
      <c r="G3" s="26" t="s">
        <v>29</v>
      </c>
      <c r="H3" s="26" t="s">
        <v>1177</v>
      </c>
      <c r="I3" s="26"/>
      <c r="J3" s="26"/>
      <c r="K3" s="5" t="s">
        <v>3342</v>
      </c>
      <c r="M3" s="89" t="s">
        <v>1459</v>
      </c>
      <c r="N3" s="89" t="s">
        <v>1460</v>
      </c>
    </row>
    <row r="4" spans="1:14" ht="87.75" customHeight="1">
      <c r="A4" s="52" t="s">
        <v>16</v>
      </c>
      <c r="B4" s="65">
        <v>4782</v>
      </c>
      <c r="C4" s="70" t="s">
        <v>577</v>
      </c>
      <c r="D4" s="26" t="s">
        <v>18</v>
      </c>
      <c r="E4" s="32" t="s">
        <v>84</v>
      </c>
      <c r="F4" s="26" t="s">
        <v>578</v>
      </c>
      <c r="G4" s="26" t="s">
        <v>579</v>
      </c>
      <c r="H4" s="26" t="s">
        <v>1186</v>
      </c>
      <c r="I4" s="26" t="s">
        <v>1295</v>
      </c>
      <c r="J4" s="26" t="s">
        <v>1302</v>
      </c>
      <c r="K4" s="25" t="s">
        <v>3349</v>
      </c>
      <c r="M4" s="89" t="s">
        <v>1477</v>
      </c>
      <c r="N4" s="89" t="s">
        <v>1478</v>
      </c>
    </row>
    <row r="5" spans="1:14" ht="87.75" customHeight="1">
      <c r="A5" s="48" t="s">
        <v>16</v>
      </c>
      <c r="B5" s="65">
        <v>4776</v>
      </c>
      <c r="C5" s="29" t="s">
        <v>37</v>
      </c>
      <c r="D5" s="26" t="s">
        <v>18</v>
      </c>
      <c r="E5" s="31" t="s">
        <v>20</v>
      </c>
      <c r="F5" s="26" t="s">
        <v>38</v>
      </c>
      <c r="G5" s="26" t="s">
        <v>39</v>
      </c>
      <c r="H5" s="26" t="s">
        <v>1187</v>
      </c>
      <c r="I5" s="26"/>
      <c r="J5" s="26" t="s">
        <v>1303</v>
      </c>
      <c r="K5" s="5" t="s">
        <v>3350</v>
      </c>
      <c r="M5" s="89" t="s">
        <v>1479</v>
      </c>
      <c r="N5" s="89" t="s">
        <v>1480</v>
      </c>
    </row>
    <row r="6" spans="1:14" ht="87.75" customHeight="1">
      <c r="A6" s="48" t="s">
        <v>16</v>
      </c>
      <c r="B6" s="65">
        <v>4768</v>
      </c>
      <c r="C6" s="26" t="s">
        <v>17</v>
      </c>
      <c r="D6" s="26" t="s">
        <v>18</v>
      </c>
      <c r="E6" s="30" t="s">
        <v>19</v>
      </c>
      <c r="F6" s="26" t="s">
        <v>21</v>
      </c>
      <c r="G6" s="26" t="s">
        <v>22</v>
      </c>
      <c r="H6" s="26" t="s">
        <v>1198</v>
      </c>
      <c r="I6" s="26"/>
      <c r="J6" s="26" t="s">
        <v>1304</v>
      </c>
      <c r="K6" s="5" t="s">
        <v>3360</v>
      </c>
      <c r="M6" s="89" t="s">
        <v>1501</v>
      </c>
      <c r="N6" s="89" t="s">
        <v>1502</v>
      </c>
    </row>
    <row r="7" spans="1:14" ht="104.25" customHeight="1">
      <c r="A7" s="48" t="s">
        <v>16</v>
      </c>
      <c r="B7" s="65">
        <v>4648</v>
      </c>
      <c r="C7" s="26" t="s">
        <v>30</v>
      </c>
      <c r="D7" s="26" t="s">
        <v>18</v>
      </c>
      <c r="E7" s="31" t="s">
        <v>20</v>
      </c>
      <c r="F7" s="26" t="s">
        <v>732</v>
      </c>
      <c r="G7" s="26" t="s">
        <v>733</v>
      </c>
      <c r="H7" s="26" t="s">
        <v>1199</v>
      </c>
      <c r="I7" s="26" t="s">
        <v>1296</v>
      </c>
      <c r="J7" s="26"/>
      <c r="K7" s="5" t="s">
        <v>3361</v>
      </c>
      <c r="M7" s="89" t="s">
        <v>1503</v>
      </c>
      <c r="N7" s="89" t="s">
        <v>1504</v>
      </c>
    </row>
    <row r="8" spans="1:14" ht="87.75" customHeight="1">
      <c r="A8" s="48" t="s">
        <v>16</v>
      </c>
      <c r="B8" s="65">
        <v>4769</v>
      </c>
      <c r="C8" s="26" t="s">
        <v>33</v>
      </c>
      <c r="D8" s="26" t="s">
        <v>18</v>
      </c>
      <c r="E8" s="31" t="s">
        <v>20</v>
      </c>
      <c r="F8" s="26" t="s">
        <v>34</v>
      </c>
      <c r="G8" s="26" t="s">
        <v>35</v>
      </c>
      <c r="H8" s="26" t="s">
        <v>1200</v>
      </c>
      <c r="I8" s="26"/>
      <c r="J8" s="26" t="s">
        <v>1305</v>
      </c>
      <c r="K8" s="5" t="s">
        <v>3362</v>
      </c>
      <c r="M8" s="89" t="s">
        <v>1505</v>
      </c>
      <c r="N8" s="89" t="s">
        <v>1506</v>
      </c>
    </row>
    <row r="9" spans="1:14" ht="87.75" customHeight="1">
      <c r="A9" s="52" t="s">
        <v>16</v>
      </c>
      <c r="B9" s="65">
        <v>4778</v>
      </c>
      <c r="C9" s="26" t="s">
        <v>41</v>
      </c>
      <c r="D9" s="26" t="s">
        <v>18</v>
      </c>
      <c r="E9" s="30" t="s">
        <v>19</v>
      </c>
      <c r="F9" s="26" t="s">
        <v>42</v>
      </c>
      <c r="G9" s="26" t="s">
        <v>43</v>
      </c>
      <c r="H9" s="26" t="s">
        <v>1217</v>
      </c>
      <c r="I9" s="26" t="s">
        <v>1297</v>
      </c>
      <c r="J9" s="26" t="s">
        <v>1306</v>
      </c>
      <c r="K9" s="5" t="s">
        <v>3379</v>
      </c>
      <c r="M9" s="89" t="s">
        <v>1539</v>
      </c>
      <c r="N9" s="89" t="s">
        <v>1540</v>
      </c>
    </row>
    <row r="10" spans="1:14" ht="87.75" customHeight="1">
      <c r="A10" s="52" t="s">
        <v>16</v>
      </c>
      <c r="B10" s="65">
        <v>4779</v>
      </c>
      <c r="C10" s="26" t="s">
        <v>46</v>
      </c>
      <c r="D10" s="26" t="s">
        <v>18</v>
      </c>
      <c r="E10" s="30" t="s">
        <v>19</v>
      </c>
      <c r="F10" s="26" t="s">
        <v>47</v>
      </c>
      <c r="G10" s="26" t="s">
        <v>48</v>
      </c>
      <c r="H10" s="26" t="s">
        <v>1218</v>
      </c>
      <c r="I10" s="26" t="s">
        <v>1298</v>
      </c>
      <c r="J10" s="26" t="s">
        <v>1307</v>
      </c>
      <c r="K10" s="5" t="s">
        <v>3380</v>
      </c>
      <c r="M10" s="89" t="s">
        <v>1541</v>
      </c>
      <c r="N10" s="89" t="s">
        <v>1542</v>
      </c>
    </row>
    <row r="11" spans="1:14" ht="87.75" customHeight="1">
      <c r="A11" s="52" t="s">
        <v>16</v>
      </c>
      <c r="B11" s="65">
        <v>4800</v>
      </c>
      <c r="C11" s="26" t="s">
        <v>51</v>
      </c>
      <c r="D11" s="26" t="s">
        <v>18</v>
      </c>
      <c r="E11" s="30" t="s">
        <v>19</v>
      </c>
      <c r="F11" s="26" t="s">
        <v>52</v>
      </c>
      <c r="G11" s="26" t="s">
        <v>53</v>
      </c>
      <c r="H11" s="26" t="s">
        <v>1219</v>
      </c>
      <c r="I11" s="26" t="s">
        <v>1299</v>
      </c>
      <c r="J11" s="26" t="s">
        <v>1308</v>
      </c>
      <c r="K11" s="5" t="s">
        <v>3381</v>
      </c>
      <c r="M11" s="89" t="s">
        <v>1543</v>
      </c>
      <c r="N11" s="89" t="s">
        <v>1544</v>
      </c>
    </row>
    <row r="12" spans="1:14" ht="87.75" customHeight="1">
      <c r="A12" s="52" t="s">
        <v>16</v>
      </c>
      <c r="B12" s="65">
        <v>4801</v>
      </c>
      <c r="C12" s="26" t="s">
        <v>56</v>
      </c>
      <c r="D12" s="26" t="s">
        <v>18</v>
      </c>
      <c r="E12" s="30" t="s">
        <v>19</v>
      </c>
      <c r="F12" s="26" t="s">
        <v>57</v>
      </c>
      <c r="G12" s="26" t="s">
        <v>53</v>
      </c>
      <c r="H12" s="26" t="s">
        <v>1220</v>
      </c>
      <c r="I12" s="26" t="s">
        <v>1300</v>
      </c>
      <c r="J12" s="26" t="s">
        <v>1308</v>
      </c>
      <c r="K12" s="5" t="s">
        <v>3382</v>
      </c>
      <c r="M12" s="89" t="s">
        <v>1545</v>
      </c>
      <c r="N12" s="89" t="s">
        <v>1546</v>
      </c>
    </row>
    <row r="13" spans="1:14" ht="87.75" customHeight="1">
      <c r="A13" s="52" t="s">
        <v>1310</v>
      </c>
      <c r="B13" s="65">
        <v>4771</v>
      </c>
      <c r="C13" s="26" t="s">
        <v>59</v>
      </c>
      <c r="D13" s="26" t="s">
        <v>18</v>
      </c>
      <c r="E13" s="31" t="s">
        <v>20</v>
      </c>
      <c r="F13" s="26" t="s">
        <v>734</v>
      </c>
      <c r="G13" s="26" t="s">
        <v>60</v>
      </c>
      <c r="H13" s="26" t="s">
        <v>1221</v>
      </c>
      <c r="I13" s="26" t="s">
        <v>1301</v>
      </c>
      <c r="J13" s="26" t="s">
        <v>1309</v>
      </c>
      <c r="K13" s="5" t="s">
        <v>3383</v>
      </c>
      <c r="M13" s="89" t="s">
        <v>1547</v>
      </c>
      <c r="N13" s="89" t="s">
        <v>1548</v>
      </c>
    </row>
    <row r="14" spans="1:14" ht="87.75" customHeight="1">
      <c r="A14" s="54" t="s">
        <v>63</v>
      </c>
      <c r="B14" s="65">
        <v>552</v>
      </c>
      <c r="C14" s="26" t="s">
        <v>64</v>
      </c>
      <c r="D14" s="26" t="s">
        <v>18</v>
      </c>
      <c r="E14" s="31" t="s">
        <v>20</v>
      </c>
      <c r="F14" s="26" t="s">
        <v>65</v>
      </c>
      <c r="G14" s="26" t="s">
        <v>66</v>
      </c>
      <c r="H14" s="26" t="s">
        <v>1238</v>
      </c>
      <c r="I14" s="26" t="s">
        <v>1296</v>
      </c>
      <c r="J14" s="26" t="s">
        <v>1385</v>
      </c>
      <c r="K14" s="5" t="s">
        <v>3400</v>
      </c>
      <c r="M14" s="89" t="s">
        <v>1581</v>
      </c>
      <c r="N14" s="89" t="s">
        <v>1582</v>
      </c>
    </row>
    <row r="15" spans="1:14" ht="87.75" customHeight="1">
      <c r="A15" s="48" t="s">
        <v>16</v>
      </c>
      <c r="B15" s="65">
        <v>4964</v>
      </c>
      <c r="C15" s="70" t="s">
        <v>4336</v>
      </c>
      <c r="D15" s="26" t="s">
        <v>18</v>
      </c>
      <c r="E15" s="31" t="s">
        <v>20</v>
      </c>
      <c r="F15" s="26" t="s">
        <v>4369</v>
      </c>
      <c r="G15" s="26" t="s">
        <v>4338</v>
      </c>
      <c r="H15" s="26" t="s">
        <v>4339</v>
      </c>
      <c r="I15" s="26" t="s">
        <v>4370</v>
      </c>
      <c r="J15" s="26" t="s">
        <v>4344</v>
      </c>
      <c r="K15" s="5" t="s">
        <v>4343</v>
      </c>
      <c r="M15" s="89" t="s">
        <v>4371</v>
      </c>
      <c r="N15" s="89" t="s">
        <v>4346</v>
      </c>
    </row>
    <row r="16" spans="1:14" ht="87.75" customHeight="1">
      <c r="A16" s="48" t="s">
        <v>3943</v>
      </c>
      <c r="B16" s="65">
        <v>5379</v>
      </c>
      <c r="C16" s="70" t="s">
        <v>4347</v>
      </c>
      <c r="D16" s="26" t="s">
        <v>18</v>
      </c>
      <c r="E16" s="31" t="s">
        <v>19</v>
      </c>
      <c r="F16" s="26" t="s">
        <v>4348</v>
      </c>
      <c r="G16" s="26" t="s">
        <v>4349</v>
      </c>
      <c r="H16" s="26" t="s">
        <v>4350</v>
      </c>
      <c r="I16" s="26" t="s">
        <v>4353</v>
      </c>
      <c r="J16" s="26" t="s">
        <v>4355</v>
      </c>
      <c r="K16" s="5" t="s">
        <v>4354</v>
      </c>
      <c r="M16" s="89" t="s">
        <v>4372</v>
      </c>
      <c r="N16" s="89" t="s">
        <v>4357</v>
      </c>
    </row>
  </sheetData>
  <autoFilter ref="A1:A13" xr:uid="{7D3EFB23-DB5B-4461-89B0-5B24C6C0D7FB}">
    <sortState xmlns:xlrd2="http://schemas.microsoft.com/office/spreadsheetml/2017/richdata2" ref="A2:Q13">
      <sortCondition ref="A1:A13"/>
    </sortState>
  </autoFilter>
  <hyperlinks>
    <hyperlink ref="K6" r:id="rId1" display="https://learn.microsoft.com/en-us/previous-versions/windows/it-pro/windows-10/security/threat-protection/auditing/event-4768{abcFF}" xr:uid="{7154C7DA-D2D4-41E4-9A40-3ED83C7DA9C5}"/>
    <hyperlink ref="K2" r:id="rId2" display="https://learn.microsoft.com/en-us/previous-versions/windows/it-pro/windows-10/security/threat-protection/auditing/event-4624" xr:uid="{E35CE317-0403-4A21-B8B7-8742500F935F}"/>
    <hyperlink ref="K3" r:id="rId3" display="https://learn.microsoft.com/en-us/previous-versions/windows/it-pro/windows-10/security/threat-protection/auditing/event-4625" xr:uid="{FD05CD66-75EB-4A83-883A-83F96B019032}"/>
    <hyperlink ref="K7" r:id="rId4" display="https://learn.microsoft.com/en-us/previous-versions/windows/it-pro/windows-10/security/threat-protection/auditing/event-4648" xr:uid="{238B87ED-36F4-4D2E-A082-70322B5BF8CE}"/>
    <hyperlink ref="K8" r:id="rId5" display="https://learn.microsoft.com/en-us/previous-versions/windows/it-pro/windows-10/security/threat-protection/auditing/event-4769" xr:uid="{66570EE3-DD51-4BA1-8E3F-2E5E70A90F9D}"/>
    <hyperlink ref="K5" r:id="rId6" display="https://learn.microsoft.com/en-us/previous-versions/windows/it-pro/windows-10/security/threat-protection/auditing/event-4776" xr:uid="{E94B0EE0-EB18-4584-8568-7E1D7EFECD9D}"/>
    <hyperlink ref="K9" r:id="rId7" display="https://learn.microsoft.com/en-us/previous-versions/windows/it-pro/windows-10/security/threat-protection/auditing/event-4778" xr:uid="{8B1628E8-6728-4F2D-AD4C-9252C58F4607}"/>
    <hyperlink ref="K10" r:id="rId8" display="https://learn.microsoft.com/en-us/previous-versions/windows/it-pro/windows-10/security/threat-protection/auditing/event-4779" xr:uid="{4B3C1DD7-CD97-436C-A5EE-9C409AB86214}"/>
    <hyperlink ref="K11" r:id="rId9" display="https://learn.microsoft.com/en-us/previous-versions/windows/it-pro/windows-10/security/threat-protection/auditing/event-4800" xr:uid="{04EFAA05-CF6A-435E-B3EA-2D6516769A80}"/>
    <hyperlink ref="K12" r:id="rId10" display="https://learn.microsoft.com/en-us/previous-versions/windows/it-pro/windows-10/security/threat-protection/auditing/event-4801" xr:uid="{C0E4E2FE-9F3D-497C-AB0C-248183481AF3}"/>
    <hyperlink ref="K13" r:id="rId11" display="https://learn.microsoft.com/en-us/previous-versions/windows/it-pro/windows-10/security/threat-protection/auditing/event-4771" xr:uid="{197A5F7C-8924-4503-A60A-D735F3D1CF3A}"/>
    <hyperlink ref="K4" r:id="rId12" display="https://learn.microsoft.com/en-us/previous-versions/windows/it-pro/windows-10/security/threat-protection/auditing/event-4782" xr:uid="{F988F2FD-98C7-4DD4-AA83-C110E08EFF0B}"/>
    <hyperlink ref="K14" r:id="rId13" display="https://learn.microsoft.com/en-us/previous-versions/windows/it-pro/windows-10/security/threat-protection/auditing/event-552" xr:uid="{123E2FAC-6619-4A9C-AC75-DF08BCE4CE4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2E45B-4898-422B-9B50-926E47EDF90A}">
  <sheetPr>
    <tabColor theme="4" tint="0.39997558519241921"/>
  </sheetPr>
  <dimension ref="A1:W16"/>
  <sheetViews>
    <sheetView zoomScale="115" zoomScaleNormal="115" workbookViewId="0"/>
  </sheetViews>
  <sheetFormatPr defaultColWidth="17.7109375" defaultRowHeight="87.75" customHeight="1"/>
  <cols>
    <col min="1" max="1" width="16.7109375" customWidth="1"/>
    <col min="2" max="2" width="10.42578125" customWidth="1"/>
    <col min="4" max="4" width="9.140625" customWidth="1"/>
    <col min="5" max="5" width="10.5703125" customWidth="1"/>
    <col min="6" max="6" width="29" customWidth="1"/>
    <col min="7" max="7" width="35.42578125" customWidth="1"/>
    <col min="8" max="8" width="42.5703125" customWidth="1"/>
    <col min="9" max="9" width="27.28515625" customWidth="1"/>
    <col min="10" max="10" width="33.42578125" customWidth="1"/>
    <col min="11" max="11" width="80.7109375" style="27" customWidth="1"/>
    <col min="12" max="12" width="66.7109375" customWidth="1"/>
    <col min="13" max="13" width="53.28515625" customWidth="1"/>
  </cols>
  <sheetData>
    <row r="1" spans="1:23" ht="87.75" customHeight="1">
      <c r="A1" s="1" t="s">
        <v>0</v>
      </c>
      <c r="B1" s="1" t="s">
        <v>1</v>
      </c>
      <c r="C1" s="1" t="s">
        <v>2</v>
      </c>
      <c r="D1" s="1" t="s">
        <v>3</v>
      </c>
      <c r="E1" s="1" t="s">
        <v>4</v>
      </c>
      <c r="F1" s="1" t="s">
        <v>6</v>
      </c>
      <c r="G1" s="1" t="s">
        <v>7</v>
      </c>
      <c r="H1" s="1" t="s">
        <v>8</v>
      </c>
      <c r="I1" s="1" t="s">
        <v>11</v>
      </c>
      <c r="J1" s="1" t="s">
        <v>12</v>
      </c>
      <c r="K1" s="4" t="s">
        <v>15</v>
      </c>
      <c r="L1" s="91" t="s">
        <v>1455</v>
      </c>
      <c r="M1" s="91" t="s">
        <v>1456</v>
      </c>
    </row>
    <row r="2" spans="1:23" ht="87.75" customHeight="1">
      <c r="A2" s="33" t="s">
        <v>92</v>
      </c>
      <c r="B2" s="65">
        <v>4728</v>
      </c>
      <c r="C2" s="26" t="s">
        <v>93</v>
      </c>
      <c r="D2" s="26" t="s">
        <v>18</v>
      </c>
      <c r="E2" s="31" t="s">
        <v>20</v>
      </c>
      <c r="F2" s="26" t="s">
        <v>94</v>
      </c>
      <c r="G2" s="26" t="s">
        <v>95</v>
      </c>
      <c r="H2" s="26" t="s">
        <v>1204</v>
      </c>
      <c r="I2" s="26"/>
      <c r="J2" s="26" t="s">
        <v>1316</v>
      </c>
      <c r="K2" s="5" t="s">
        <v>3366</v>
      </c>
      <c r="L2" s="89" t="s">
        <v>1513</v>
      </c>
      <c r="M2" s="89" t="s">
        <v>1514</v>
      </c>
    </row>
    <row r="3" spans="1:23" ht="87.75" customHeight="1">
      <c r="A3" s="33" t="s">
        <v>92</v>
      </c>
      <c r="B3" s="65">
        <v>4729</v>
      </c>
      <c r="C3" s="26" t="s">
        <v>97</v>
      </c>
      <c r="D3" s="26" t="s">
        <v>18</v>
      </c>
      <c r="E3" s="31" t="s">
        <v>20</v>
      </c>
      <c r="F3" s="26" t="s">
        <v>98</v>
      </c>
      <c r="G3" s="26" t="s">
        <v>99</v>
      </c>
      <c r="H3" s="26" t="s">
        <v>1205</v>
      </c>
      <c r="I3" s="26"/>
      <c r="J3" s="26"/>
      <c r="K3" s="5" t="s">
        <v>3367</v>
      </c>
      <c r="L3" s="89" t="s">
        <v>1515</v>
      </c>
      <c r="M3" s="89" t="s">
        <v>1516</v>
      </c>
    </row>
    <row r="4" spans="1:23" ht="87.75" customHeight="1">
      <c r="A4" s="33" t="s">
        <v>92</v>
      </c>
      <c r="B4" s="65">
        <v>4732</v>
      </c>
      <c r="C4" s="26" t="s">
        <v>100</v>
      </c>
      <c r="D4" s="26" t="s">
        <v>18</v>
      </c>
      <c r="E4" s="31" t="s">
        <v>20</v>
      </c>
      <c r="F4" s="26" t="s">
        <v>101</v>
      </c>
      <c r="G4" s="26" t="s">
        <v>102</v>
      </c>
      <c r="H4" s="26" t="s">
        <v>1206</v>
      </c>
      <c r="I4" s="26"/>
      <c r="J4" s="26"/>
      <c r="K4" s="5" t="s">
        <v>3368</v>
      </c>
      <c r="L4" s="89" t="s">
        <v>1517</v>
      </c>
      <c r="M4" s="89" t="s">
        <v>1518</v>
      </c>
    </row>
    <row r="5" spans="1:23" ht="87.75" customHeight="1">
      <c r="A5" s="36" t="s">
        <v>92</v>
      </c>
      <c r="B5" s="65">
        <v>4754</v>
      </c>
      <c r="C5" s="26" t="s">
        <v>736</v>
      </c>
      <c r="D5" s="26" t="s">
        <v>18</v>
      </c>
      <c r="E5" s="31" t="s">
        <v>20</v>
      </c>
      <c r="F5" s="26" t="s">
        <v>737</v>
      </c>
      <c r="G5" s="26" t="s">
        <v>121</v>
      </c>
      <c r="H5" s="26" t="s">
        <v>1224</v>
      </c>
      <c r="I5" s="26" t="s">
        <v>1312</v>
      </c>
      <c r="J5" s="26" t="s">
        <v>1317</v>
      </c>
      <c r="K5" s="5" t="s">
        <v>3386</v>
      </c>
      <c r="L5" s="89" t="s">
        <v>1553</v>
      </c>
      <c r="M5" s="89" t="s">
        <v>1554</v>
      </c>
    </row>
    <row r="6" spans="1:23" ht="87.75" customHeight="1">
      <c r="A6" s="36" t="s">
        <v>92</v>
      </c>
      <c r="B6" s="65">
        <v>4755</v>
      </c>
      <c r="C6" s="26" t="s">
        <v>1311</v>
      </c>
      <c r="D6" s="26" t="s">
        <v>18</v>
      </c>
      <c r="E6" s="31" t="s">
        <v>20</v>
      </c>
      <c r="F6" s="26" t="s">
        <v>738</v>
      </c>
      <c r="G6" s="26" t="s">
        <v>121</v>
      </c>
      <c r="H6" s="26" t="s">
        <v>1225</v>
      </c>
      <c r="I6" s="26" t="s">
        <v>1313</v>
      </c>
      <c r="J6" s="26" t="s">
        <v>1317</v>
      </c>
      <c r="K6" s="5" t="s">
        <v>3387</v>
      </c>
      <c r="L6" s="89" t="s">
        <v>1555</v>
      </c>
      <c r="M6" s="89" t="s">
        <v>1556</v>
      </c>
    </row>
    <row r="7" spans="1:23" s="26" customFormat="1" ht="80.25" customHeight="1">
      <c r="A7" s="28" t="s">
        <v>69</v>
      </c>
      <c r="B7" s="65">
        <v>4720</v>
      </c>
      <c r="C7" s="29" t="s">
        <v>83</v>
      </c>
      <c r="D7" s="26" t="s">
        <v>18</v>
      </c>
      <c r="E7" s="32" t="s">
        <v>84</v>
      </c>
      <c r="F7" s="26" t="s">
        <v>85</v>
      </c>
      <c r="G7" s="26" t="s">
        <v>86</v>
      </c>
      <c r="H7" s="26" t="s">
        <v>1188</v>
      </c>
      <c r="J7" s="26" t="s">
        <v>1318</v>
      </c>
      <c r="K7" s="5" t="s">
        <v>3351</v>
      </c>
      <c r="L7" s="90" t="s">
        <v>1481</v>
      </c>
      <c r="M7" s="90" t="s">
        <v>1482</v>
      </c>
      <c r="N7" s="27"/>
      <c r="O7" s="27"/>
      <c r="P7" s="27"/>
      <c r="Q7" s="27"/>
      <c r="R7" s="27"/>
      <c r="S7" s="27"/>
      <c r="T7" s="27"/>
      <c r="U7" s="27"/>
      <c r="V7" s="27"/>
      <c r="W7" s="27"/>
    </row>
    <row r="8" spans="1:23" s="26" customFormat="1" ht="58.5" customHeight="1">
      <c r="A8" s="35" t="s">
        <v>69</v>
      </c>
      <c r="B8" s="66">
        <v>4634</v>
      </c>
      <c r="C8" s="61" t="s">
        <v>697</v>
      </c>
      <c r="D8" s="57" t="s">
        <v>18</v>
      </c>
      <c r="E8" s="39" t="s">
        <v>31</v>
      </c>
      <c r="F8" s="57" t="s">
        <v>698</v>
      </c>
      <c r="G8" s="57" t="s">
        <v>699</v>
      </c>
      <c r="H8" s="57" t="s">
        <v>1193</v>
      </c>
      <c r="J8" s="57" t="s">
        <v>1319</v>
      </c>
      <c r="K8" s="24" t="s">
        <v>3355</v>
      </c>
      <c r="L8" s="90" t="s">
        <v>1491</v>
      </c>
      <c r="M8" s="90" t="s">
        <v>1492</v>
      </c>
      <c r="N8" s="27"/>
      <c r="O8" s="27"/>
      <c r="P8" s="27"/>
      <c r="Q8" s="27"/>
      <c r="R8" s="27"/>
      <c r="S8" s="27"/>
      <c r="T8" s="27"/>
      <c r="U8" s="27"/>
      <c r="V8" s="27"/>
      <c r="W8" s="27"/>
    </row>
    <row r="9" spans="1:23" s="26" customFormat="1" ht="58.5" customHeight="1">
      <c r="A9" s="28" t="s">
        <v>69</v>
      </c>
      <c r="B9" s="65">
        <v>4740</v>
      </c>
      <c r="C9" s="29" t="s">
        <v>70</v>
      </c>
      <c r="D9" s="26" t="s">
        <v>18</v>
      </c>
      <c r="E9" s="30" t="s">
        <v>19</v>
      </c>
      <c r="F9" s="26" t="s">
        <v>71</v>
      </c>
      <c r="G9" s="26" t="s">
        <v>72</v>
      </c>
      <c r="H9" s="26" t="s">
        <v>1196</v>
      </c>
      <c r="K9" s="5" t="s">
        <v>3358</v>
      </c>
      <c r="L9" s="90" t="s">
        <v>1497</v>
      </c>
      <c r="M9" s="90" t="s">
        <v>1498</v>
      </c>
      <c r="N9" s="27"/>
      <c r="O9" s="27"/>
      <c r="P9" s="27"/>
      <c r="Q9" s="27"/>
      <c r="R9" s="27"/>
      <c r="S9" s="27"/>
      <c r="T9" s="27"/>
      <c r="U9" s="27"/>
      <c r="V9" s="27"/>
      <c r="W9" s="27"/>
    </row>
    <row r="10" spans="1:23" s="26" customFormat="1" ht="58.5" customHeight="1">
      <c r="A10" s="28" t="s">
        <v>69</v>
      </c>
      <c r="B10" s="65">
        <v>4726</v>
      </c>
      <c r="C10" s="29" t="s">
        <v>88</v>
      </c>
      <c r="D10" s="26" t="s">
        <v>18</v>
      </c>
      <c r="E10" s="32" t="s">
        <v>84</v>
      </c>
      <c r="F10" s="26" t="s">
        <v>90</v>
      </c>
      <c r="G10" s="26" t="s">
        <v>91</v>
      </c>
      <c r="H10" s="26" t="s">
        <v>1197</v>
      </c>
      <c r="K10" s="5" t="s">
        <v>3359</v>
      </c>
      <c r="L10" s="90" t="s">
        <v>1499</v>
      </c>
      <c r="M10" s="90" t="s">
        <v>1500</v>
      </c>
      <c r="N10" s="27"/>
      <c r="O10" s="27"/>
      <c r="P10" s="27"/>
      <c r="Q10" s="27"/>
      <c r="R10" s="27"/>
      <c r="S10" s="27"/>
      <c r="T10" s="27"/>
      <c r="U10" s="27"/>
      <c r="V10" s="27"/>
      <c r="W10" s="27"/>
    </row>
    <row r="11" spans="1:23" s="26" customFormat="1" ht="58.5" customHeight="1">
      <c r="A11" s="28" t="s">
        <v>69</v>
      </c>
      <c r="B11" s="65">
        <v>4725</v>
      </c>
      <c r="C11" s="26" t="s">
        <v>74</v>
      </c>
      <c r="D11" s="26" t="s">
        <v>18</v>
      </c>
      <c r="E11" s="30" t="s">
        <v>19</v>
      </c>
      <c r="F11" s="26" t="s">
        <v>75</v>
      </c>
      <c r="G11" s="26" t="s">
        <v>76</v>
      </c>
      <c r="H11" s="26" t="s">
        <v>1201</v>
      </c>
      <c r="K11" s="5" t="s">
        <v>3363</v>
      </c>
      <c r="L11" s="90" t="s">
        <v>1507</v>
      </c>
      <c r="M11" s="90" t="s">
        <v>1508</v>
      </c>
      <c r="N11" s="27"/>
      <c r="O11" s="27"/>
      <c r="P11" s="27"/>
      <c r="Q11" s="27"/>
      <c r="R11" s="27"/>
      <c r="S11" s="27"/>
      <c r="T11" s="27"/>
      <c r="U11" s="27"/>
      <c r="V11" s="27"/>
      <c r="W11" s="27"/>
    </row>
    <row r="12" spans="1:23" s="26" customFormat="1" ht="58.5" customHeight="1">
      <c r="A12" s="28" t="s">
        <v>69</v>
      </c>
      <c r="B12" s="65">
        <v>4724</v>
      </c>
      <c r="C12" s="26" t="s">
        <v>77</v>
      </c>
      <c r="D12" s="26" t="s">
        <v>18</v>
      </c>
      <c r="E12" s="31" t="s">
        <v>20</v>
      </c>
      <c r="F12" s="26" t="s">
        <v>78</v>
      </c>
      <c r="G12" s="26" t="s">
        <v>79</v>
      </c>
      <c r="H12" s="26" t="s">
        <v>1202</v>
      </c>
      <c r="K12" s="5" t="s">
        <v>3364</v>
      </c>
      <c r="L12" s="90" t="s">
        <v>1509</v>
      </c>
      <c r="M12" s="90" t="s">
        <v>1510</v>
      </c>
      <c r="N12" s="27"/>
      <c r="O12" s="27"/>
      <c r="P12" s="27"/>
      <c r="Q12" s="27"/>
      <c r="R12" s="27"/>
      <c r="S12" s="27"/>
      <c r="T12" s="27"/>
      <c r="U12" s="27"/>
      <c r="V12" s="27"/>
      <c r="W12" s="27"/>
    </row>
    <row r="13" spans="1:23" s="26" customFormat="1" ht="58.5" customHeight="1">
      <c r="A13" s="28" t="s">
        <v>69</v>
      </c>
      <c r="B13" s="65">
        <v>4722</v>
      </c>
      <c r="C13" s="26" t="s">
        <v>80</v>
      </c>
      <c r="D13" s="26" t="s">
        <v>18</v>
      </c>
      <c r="E13" s="31" t="s">
        <v>20</v>
      </c>
      <c r="F13" s="26" t="s">
        <v>81</v>
      </c>
      <c r="G13" s="26" t="s">
        <v>82</v>
      </c>
      <c r="H13" s="26" t="s">
        <v>1203</v>
      </c>
      <c r="K13" s="5" t="s">
        <v>3365</v>
      </c>
      <c r="L13" s="90" t="s">
        <v>1511</v>
      </c>
      <c r="M13" s="90" t="s">
        <v>1512</v>
      </c>
      <c r="N13" s="27"/>
      <c r="O13" s="27"/>
      <c r="P13" s="27"/>
      <c r="Q13" s="27"/>
      <c r="R13" s="27"/>
      <c r="S13" s="27"/>
      <c r="T13" s="27"/>
      <c r="U13" s="27"/>
      <c r="V13" s="27"/>
      <c r="W13" s="27"/>
    </row>
    <row r="14" spans="1:23" s="26" customFormat="1" ht="58.5" customHeight="1">
      <c r="A14" s="35" t="s">
        <v>69</v>
      </c>
      <c r="B14" s="65">
        <v>4767</v>
      </c>
      <c r="C14" s="26" t="s">
        <v>111</v>
      </c>
      <c r="D14" s="26" t="s">
        <v>18</v>
      </c>
      <c r="E14" s="31" t="s">
        <v>20</v>
      </c>
      <c r="F14" s="26" t="s">
        <v>112</v>
      </c>
      <c r="G14" s="26" t="s">
        <v>113</v>
      </c>
      <c r="H14" s="26" t="s">
        <v>1222</v>
      </c>
      <c r="I14" s="26" t="s">
        <v>1314</v>
      </c>
      <c r="J14" s="26" t="s">
        <v>1320</v>
      </c>
      <c r="K14" s="5" t="s">
        <v>3384</v>
      </c>
      <c r="L14" s="90" t="s">
        <v>1549</v>
      </c>
      <c r="M14" s="90" t="s">
        <v>1550</v>
      </c>
      <c r="N14" s="27"/>
      <c r="O14" s="27"/>
      <c r="P14" s="27"/>
      <c r="Q14" s="27"/>
      <c r="R14" s="27"/>
      <c r="S14" s="27"/>
      <c r="T14" s="27"/>
      <c r="U14" s="27"/>
      <c r="V14" s="27"/>
      <c r="W14" s="27"/>
    </row>
    <row r="15" spans="1:23" ht="134.25" customHeight="1">
      <c r="A15" s="35" t="s">
        <v>69</v>
      </c>
      <c r="B15" s="65">
        <v>4738</v>
      </c>
      <c r="C15" s="26" t="s">
        <v>117</v>
      </c>
      <c r="D15" s="26" t="s">
        <v>18</v>
      </c>
      <c r="E15" s="32" t="s">
        <v>84</v>
      </c>
      <c r="F15" s="26" t="s">
        <v>735</v>
      </c>
      <c r="G15" s="26" t="s">
        <v>118</v>
      </c>
      <c r="H15" s="26" t="s">
        <v>1223</v>
      </c>
      <c r="I15" s="26" t="s">
        <v>1315</v>
      </c>
      <c r="J15" s="26" t="s">
        <v>1321</v>
      </c>
      <c r="K15" s="5" t="s">
        <v>3385</v>
      </c>
      <c r="L15" s="89" t="s">
        <v>1551</v>
      </c>
      <c r="M15" s="89" t="s">
        <v>1552</v>
      </c>
    </row>
    <row r="16" spans="1:23" ht="87.75" customHeight="1">
      <c r="A16" s="33" t="s">
        <v>4373</v>
      </c>
      <c r="B16" s="65">
        <v>7045</v>
      </c>
      <c r="C16" s="26" t="s">
        <v>4224</v>
      </c>
      <c r="D16" s="26" t="s">
        <v>1096</v>
      </c>
      <c r="E16" s="31" t="s">
        <v>84</v>
      </c>
      <c r="F16" s="26" t="s">
        <v>4225</v>
      </c>
      <c r="G16" s="26" t="s">
        <v>4226</v>
      </c>
      <c r="H16" s="26" t="s">
        <v>4227</v>
      </c>
      <c r="I16" s="26" t="s">
        <v>4374</v>
      </c>
      <c r="J16" s="26" t="s">
        <v>4231</v>
      </c>
      <c r="K16" s="5" t="s">
        <v>3352</v>
      </c>
      <c r="L16" s="89" t="s">
        <v>4232</v>
      </c>
      <c r="M16" s="89" t="s">
        <v>4233</v>
      </c>
    </row>
  </sheetData>
  <autoFilter ref="C1:C15" xr:uid="{EB15344D-0E8A-4D2E-9D24-E475E82AE46A}">
    <sortState xmlns:xlrd2="http://schemas.microsoft.com/office/spreadsheetml/2017/richdata2" ref="A2:R15">
      <sortCondition sortBy="cellColor" ref="C1:C15" dxfId="6"/>
    </sortState>
  </autoFilter>
  <hyperlinks>
    <hyperlink ref="K9" r:id="rId1" display="https://learn.microsoft.com/en-us/previous-versions/windows/it-pro/windows-10/security/threat-protection/auditing/event-4740" xr:uid="{14295B33-6534-4C15-9D80-7D70DAEC51E3}"/>
    <hyperlink ref="K11" r:id="rId2" display="https://learn.microsoft.com/en-us/previous-versions/windows/it-pro/windows-10/security/threat-protection/auditing/event-4725" xr:uid="{6C895F41-9E42-4534-A161-0AA1A7BA9B56}"/>
    <hyperlink ref="K12" r:id="rId3" display="https://learn.microsoft.com/en-us/previous-versions/windows/it-pro/windows-10/security/threat-protection/auditing/event-4724" xr:uid="{E7167E16-9AE3-42CD-819E-7C077A04F025}"/>
    <hyperlink ref="K13" r:id="rId4" display="https://learn.microsoft.com/en-us/previous-versions/windows/it-pro/windows-10/security/threat-protection/auditing/event-4722" xr:uid="{3244828F-A398-4436-8DDC-E81399BD76C2}"/>
    <hyperlink ref="K7" r:id="rId5" display="https://learn.microsoft.com/en-us/previous-versions/windows/it-pro/windows-10/security/threat-protection/auditing/event-4720" xr:uid="{812F09B3-F257-4FEC-BCAC-625EEC9BFB5B}"/>
    <hyperlink ref="K10" r:id="rId6" display="https://learn.microsoft.com/en-us/previous-versions/windows/it-pro/windows-10/security/threat-protection/auditing/event-4726" xr:uid="{0AF475F5-2EC9-43D4-8DB4-80C410C7678F}"/>
    <hyperlink ref="K2" r:id="rId7" display="https://learn.microsoft.com/en-us/previous-versions/windows/it-pro/windows-10/security/threat-protection/auditing/event-4728" xr:uid="{9083A342-49BA-42EC-B3CB-A07DE42DE2B9}"/>
    <hyperlink ref="K3" r:id="rId8" display="https://learn.microsoft.com/en-us/previous-versions/windows/it-pro/windows-10/security/threat-protection/auditing/event-4729" xr:uid="{70299EED-8C4C-47A0-B71A-0386F745F026}"/>
    <hyperlink ref="K4" r:id="rId9" display="https://learn.microsoft.com/en-us/previous-versions/windows/it-pro/windows-10/security/threat-protection/auditing/event-4732" xr:uid="{B1EEF9EC-46CD-49FB-9642-DCD58C203205}"/>
    <hyperlink ref="K14" r:id="rId10" display="https://learn.microsoft.com/en-us/previous-versions/windows/it-pro/windows-10/security/threat-protection/auditing/event-4767" xr:uid="{974DE498-0CE3-481A-AB76-62747F19DEA6}"/>
    <hyperlink ref="K15" r:id="rId11" display="https://learn.microsoft.com/en-us/previous-versions/windows/it-pro/windows-10/security/threat-protection/auditing/event-4738" xr:uid="{2D4219E7-EABE-4351-A146-4CF2365BD1C1}"/>
    <hyperlink ref="K5" r:id="rId12" display="https://learn.microsoft.com/en-us/previous-versions/windows/it-pro/windows-10/security/threat-protection/auditing/event-4754" xr:uid="{13C18DAF-8298-486A-9AE3-FCF03988BFD1}"/>
    <hyperlink ref="K6" r:id="rId13" display="https://learn.microsoft.com/en-us/previous-versions/windows/it-pro/windows-10/security/threat-protection/auditing/event-4755" xr:uid="{2152DF44-DA0A-4F0E-B8D7-4EB4A58394C0}"/>
    <hyperlink ref="K8" r:id="rId14" display="https://learn.microsoft.com/en-us/previous-versions/windows/it-pro/windows-10/security/threat-protection/auditing/event-4634" xr:uid="{94CEC6DD-FD4A-460A-BFFF-8564C5E3084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13D78-A6E2-4DFA-9774-527522BE6467}">
  <sheetPr>
    <tabColor theme="4" tint="0.39997558519241921"/>
  </sheetPr>
  <dimension ref="A1:M16"/>
  <sheetViews>
    <sheetView zoomScale="115" zoomScaleNormal="115" workbookViewId="0"/>
  </sheetViews>
  <sheetFormatPr defaultColWidth="17.7109375" defaultRowHeight="87.75" customHeight="1"/>
  <cols>
    <col min="1" max="1" width="16.7109375" customWidth="1"/>
    <col min="2" max="2" width="10.42578125" customWidth="1"/>
    <col min="4" max="4" width="9.140625" customWidth="1"/>
    <col min="5" max="5" width="10.5703125" customWidth="1"/>
    <col min="6" max="6" width="29" customWidth="1"/>
    <col min="7" max="7" width="35.42578125" customWidth="1"/>
    <col min="8" max="8" width="42.5703125" customWidth="1"/>
    <col min="9" max="9" width="27.28515625" customWidth="1"/>
    <col min="10" max="10" width="33.42578125" customWidth="1"/>
    <col min="11" max="11" width="80.7109375" style="27" customWidth="1"/>
    <col min="12" max="12" width="66.7109375" customWidth="1"/>
    <col min="13" max="13" width="53.28515625" customWidth="1"/>
  </cols>
  <sheetData>
    <row r="1" spans="1:13" ht="87.75" customHeight="1">
      <c r="A1" s="1" t="s">
        <v>0</v>
      </c>
      <c r="B1" s="1" t="s">
        <v>1</v>
      </c>
      <c r="C1" s="1" t="s">
        <v>2</v>
      </c>
      <c r="D1" s="1" t="s">
        <v>3</v>
      </c>
      <c r="E1" s="1" t="s">
        <v>4</v>
      </c>
      <c r="F1" s="1" t="s">
        <v>6</v>
      </c>
      <c r="G1" s="1" t="s">
        <v>7</v>
      </c>
      <c r="H1" s="1" t="s">
        <v>8</v>
      </c>
      <c r="I1" s="1" t="s">
        <v>11</v>
      </c>
      <c r="J1" s="1" t="s">
        <v>12</v>
      </c>
      <c r="K1" s="4" t="s">
        <v>15</v>
      </c>
      <c r="L1" s="91" t="s">
        <v>1455</v>
      </c>
      <c r="M1" s="91" t="s">
        <v>1456</v>
      </c>
    </row>
    <row r="2" spans="1:13" ht="87.75" customHeight="1">
      <c r="A2" s="38" t="s">
        <v>139</v>
      </c>
      <c r="B2" s="65">
        <v>4698</v>
      </c>
      <c r="C2" s="70" t="s">
        <v>140</v>
      </c>
      <c r="D2" s="26" t="s">
        <v>18</v>
      </c>
      <c r="E2" s="31" t="s">
        <v>20</v>
      </c>
      <c r="F2" s="26" t="s">
        <v>141</v>
      </c>
      <c r="G2" s="26" t="s">
        <v>142</v>
      </c>
      <c r="H2" s="26" t="s">
        <v>1182</v>
      </c>
      <c r="I2" s="26"/>
      <c r="J2" s="26" t="s">
        <v>1325</v>
      </c>
      <c r="K2" s="5" t="s">
        <v>3345</v>
      </c>
      <c r="L2" s="89" t="s">
        <v>1469</v>
      </c>
      <c r="M2" s="89" t="s">
        <v>1470</v>
      </c>
    </row>
    <row r="3" spans="1:13" ht="87.75" customHeight="1">
      <c r="A3" s="38" t="s">
        <v>139</v>
      </c>
      <c r="B3" s="65">
        <v>4699</v>
      </c>
      <c r="C3" s="29" t="s">
        <v>725</v>
      </c>
      <c r="D3" s="26" t="s">
        <v>18</v>
      </c>
      <c r="E3" s="31" t="s">
        <v>20</v>
      </c>
      <c r="F3" s="26" t="s">
        <v>726</v>
      </c>
      <c r="G3" s="26" t="s">
        <v>730</v>
      </c>
      <c r="H3" s="26" t="s">
        <v>1194</v>
      </c>
      <c r="I3" s="73"/>
      <c r="J3" s="73"/>
      <c r="K3" s="5" t="s">
        <v>3356</v>
      </c>
      <c r="L3" s="89" t="s">
        <v>1493</v>
      </c>
      <c r="M3" s="89" t="s">
        <v>1494</v>
      </c>
    </row>
    <row r="4" spans="1:13" ht="87.75" customHeight="1">
      <c r="A4" s="38" t="s">
        <v>139</v>
      </c>
      <c r="B4" s="65">
        <v>4702</v>
      </c>
      <c r="C4" s="26" t="s">
        <v>144</v>
      </c>
      <c r="D4" s="26" t="s">
        <v>18</v>
      </c>
      <c r="E4" s="31" t="s">
        <v>20</v>
      </c>
      <c r="F4" s="26" t="s">
        <v>145</v>
      </c>
      <c r="G4" s="26" t="s">
        <v>146</v>
      </c>
      <c r="H4" s="26" t="s">
        <v>1208</v>
      </c>
      <c r="I4" s="26"/>
      <c r="J4" s="26"/>
      <c r="K4" s="5" t="s">
        <v>3370</v>
      </c>
      <c r="L4" s="89" t="s">
        <v>1521</v>
      </c>
      <c r="M4" s="89" t="s">
        <v>1522</v>
      </c>
    </row>
    <row r="5" spans="1:13" ht="87.75" customHeight="1">
      <c r="A5" s="37" t="s">
        <v>126</v>
      </c>
      <c r="B5" s="65">
        <v>4688</v>
      </c>
      <c r="C5" s="70" t="s">
        <v>130</v>
      </c>
      <c r="D5" s="26" t="s">
        <v>18</v>
      </c>
      <c r="E5" s="31" t="s">
        <v>20</v>
      </c>
      <c r="F5" s="26" t="s">
        <v>132</v>
      </c>
      <c r="G5" s="26" t="s">
        <v>133</v>
      </c>
      <c r="H5" s="26" t="s">
        <v>1178</v>
      </c>
      <c r="I5" s="26"/>
      <c r="J5" s="26" t="s">
        <v>1326</v>
      </c>
      <c r="K5" s="5" t="s">
        <v>3343</v>
      </c>
      <c r="L5" s="89" t="s">
        <v>1461</v>
      </c>
      <c r="M5" s="89" t="s">
        <v>1462</v>
      </c>
    </row>
    <row r="6" spans="1:13" ht="87.75" customHeight="1">
      <c r="A6" s="37" t="s">
        <v>126</v>
      </c>
      <c r="B6" s="65">
        <v>4697</v>
      </c>
      <c r="C6" s="29" t="s">
        <v>135</v>
      </c>
      <c r="D6" s="26" t="s">
        <v>18</v>
      </c>
      <c r="E6" s="31" t="s">
        <v>20</v>
      </c>
      <c r="F6" s="26" t="s">
        <v>136</v>
      </c>
      <c r="G6" s="26" t="s">
        <v>137</v>
      </c>
      <c r="H6" s="26" t="s">
        <v>1189</v>
      </c>
      <c r="I6" s="26"/>
      <c r="J6" s="26" t="s">
        <v>1327</v>
      </c>
      <c r="K6" s="5" t="s">
        <v>3352</v>
      </c>
      <c r="L6" s="89" t="s">
        <v>1483</v>
      </c>
      <c r="M6" s="89" t="s">
        <v>1484</v>
      </c>
    </row>
    <row r="7" spans="1:13" ht="87.75" customHeight="1">
      <c r="A7" s="37" t="s">
        <v>126</v>
      </c>
      <c r="B7" s="65">
        <v>4689</v>
      </c>
      <c r="C7" s="26" t="s">
        <v>127</v>
      </c>
      <c r="D7" s="26" t="s">
        <v>18</v>
      </c>
      <c r="E7" s="30" t="s">
        <v>19</v>
      </c>
      <c r="F7" s="26" t="s">
        <v>128</v>
      </c>
      <c r="G7" s="26" t="s">
        <v>129</v>
      </c>
      <c r="H7" s="26" t="s">
        <v>1207</v>
      </c>
      <c r="I7" s="26"/>
      <c r="J7" s="26"/>
      <c r="K7" s="5" t="s">
        <v>3369</v>
      </c>
      <c r="L7" s="89" t="s">
        <v>1519</v>
      </c>
      <c r="M7" s="89" t="s">
        <v>1520</v>
      </c>
    </row>
    <row r="8" spans="1:13" ht="87.75" customHeight="1">
      <c r="A8" s="37" t="s">
        <v>126</v>
      </c>
      <c r="B8" s="65">
        <v>4703</v>
      </c>
      <c r="C8" s="26" t="s">
        <v>147</v>
      </c>
      <c r="D8" s="26" t="s">
        <v>18</v>
      </c>
      <c r="E8" s="31" t="s">
        <v>20</v>
      </c>
      <c r="F8" s="26" t="s">
        <v>148</v>
      </c>
      <c r="G8" s="26" t="s">
        <v>149</v>
      </c>
      <c r="H8" s="26" t="s">
        <v>1237</v>
      </c>
      <c r="I8" s="26" t="s">
        <v>1324</v>
      </c>
      <c r="J8" s="26" t="s">
        <v>1328</v>
      </c>
      <c r="K8" s="5" t="s">
        <v>3399</v>
      </c>
      <c r="L8" s="89" t="s">
        <v>1579</v>
      </c>
      <c r="M8" s="89" t="s">
        <v>1580</v>
      </c>
    </row>
    <row r="9" spans="1:13" ht="87.75" customHeight="1">
      <c r="A9" s="37" t="s">
        <v>126</v>
      </c>
      <c r="B9" s="65">
        <v>7045</v>
      </c>
      <c r="C9" s="29" t="s">
        <v>1095</v>
      </c>
      <c r="D9" s="26" t="s">
        <v>1096</v>
      </c>
      <c r="E9" s="31" t="s">
        <v>20</v>
      </c>
      <c r="F9" s="26" t="s">
        <v>1322</v>
      </c>
      <c r="G9" s="26" t="s">
        <v>137</v>
      </c>
      <c r="H9" s="26" t="s">
        <v>1189</v>
      </c>
      <c r="I9" s="26"/>
      <c r="J9" s="26" t="s">
        <v>1327</v>
      </c>
      <c r="K9" s="5" t="s">
        <v>1323</v>
      </c>
      <c r="L9" s="89" t="s">
        <v>1657</v>
      </c>
      <c r="M9" s="89" t="s">
        <v>1658</v>
      </c>
    </row>
    <row r="10" spans="1:13" ht="87.75" customHeight="1">
      <c r="A10" s="38" t="s">
        <v>1051</v>
      </c>
      <c r="B10" s="65">
        <v>5861</v>
      </c>
      <c r="C10" s="70" t="s">
        <v>4235</v>
      </c>
      <c r="D10" s="26" t="s">
        <v>4236</v>
      </c>
      <c r="E10" s="31" t="s">
        <v>84</v>
      </c>
      <c r="F10" s="26" t="s">
        <v>4237</v>
      </c>
      <c r="G10" s="26" t="s">
        <v>4238</v>
      </c>
      <c r="H10" s="26" t="s">
        <v>4239</v>
      </c>
      <c r="I10" s="26" t="s">
        <v>4242</v>
      </c>
      <c r="J10" s="26" t="s">
        <v>4375</v>
      </c>
      <c r="K10" s="5" t="s">
        <v>4243</v>
      </c>
      <c r="L10" s="89" t="s">
        <v>4245</v>
      </c>
      <c r="M10" s="89" t="s">
        <v>4376</v>
      </c>
    </row>
    <row r="11" spans="1:13" ht="87.75" customHeight="1">
      <c r="A11" s="38" t="s">
        <v>1051</v>
      </c>
      <c r="B11" s="65">
        <v>5857</v>
      </c>
      <c r="C11" s="70" t="s">
        <v>4247</v>
      </c>
      <c r="D11" s="26" t="s">
        <v>4236</v>
      </c>
      <c r="E11" s="31" t="s">
        <v>19</v>
      </c>
      <c r="F11" s="26" t="s">
        <v>4248</v>
      </c>
      <c r="G11" s="26" t="s">
        <v>4249</v>
      </c>
      <c r="H11" s="26" t="s">
        <v>4250</v>
      </c>
      <c r="I11" s="26" t="s">
        <v>4253</v>
      </c>
      <c r="J11" s="26" t="s">
        <v>4255</v>
      </c>
      <c r="K11" s="5" t="s">
        <v>4254</v>
      </c>
      <c r="L11" s="89" t="s">
        <v>4256</v>
      </c>
      <c r="M11" s="89" t="s">
        <v>4257</v>
      </c>
    </row>
    <row r="12" spans="1:13" ht="87.75" customHeight="1">
      <c r="A12" s="38" t="s">
        <v>4292</v>
      </c>
      <c r="B12" s="65">
        <v>8004</v>
      </c>
      <c r="C12" s="70" t="s">
        <v>4293</v>
      </c>
      <c r="D12" s="26" t="s">
        <v>4294</v>
      </c>
      <c r="E12" s="31" t="s">
        <v>20</v>
      </c>
      <c r="F12" s="26" t="s">
        <v>4295</v>
      </c>
      <c r="G12" s="26" t="s">
        <v>4296</v>
      </c>
      <c r="H12" s="26" t="s">
        <v>4297</v>
      </c>
      <c r="I12" s="26" t="s">
        <v>4300</v>
      </c>
      <c r="J12" s="26" t="s">
        <v>4377</v>
      </c>
      <c r="K12" s="5" t="s">
        <v>4301</v>
      </c>
      <c r="L12" s="89" t="s">
        <v>4303</v>
      </c>
      <c r="M12" s="89" t="s">
        <v>4304</v>
      </c>
    </row>
    <row r="13" spans="1:13" ht="87.75" customHeight="1">
      <c r="A13" s="38" t="s">
        <v>4292</v>
      </c>
      <c r="B13" s="65">
        <v>8003</v>
      </c>
      <c r="C13" s="70" t="s">
        <v>4305</v>
      </c>
      <c r="D13" s="26" t="s">
        <v>4294</v>
      </c>
      <c r="E13" s="31" t="s">
        <v>19</v>
      </c>
      <c r="F13" s="26" t="s">
        <v>4306</v>
      </c>
      <c r="G13" s="26" t="s">
        <v>4307</v>
      </c>
      <c r="H13" s="26" t="s">
        <v>4308</v>
      </c>
      <c r="I13" s="26" t="s">
        <v>4310</v>
      </c>
      <c r="J13" s="26" t="s">
        <v>4311</v>
      </c>
      <c r="K13" s="5" t="s">
        <v>4301</v>
      </c>
      <c r="L13" s="89" t="s">
        <v>4312</v>
      </c>
      <c r="M13" s="89" t="s">
        <v>4313</v>
      </c>
    </row>
    <row r="14" spans="1:13" ht="87.75" customHeight="1">
      <c r="A14" s="38" t="s">
        <v>4292</v>
      </c>
      <c r="B14" s="65">
        <v>3077</v>
      </c>
      <c r="C14" s="70" t="s">
        <v>4314</v>
      </c>
      <c r="D14" s="26" t="s">
        <v>4315</v>
      </c>
      <c r="E14" s="31" t="s">
        <v>20</v>
      </c>
      <c r="F14" s="26" t="s">
        <v>4316</v>
      </c>
      <c r="G14" s="26" t="s">
        <v>4317</v>
      </c>
      <c r="H14" s="26" t="s">
        <v>4318</v>
      </c>
      <c r="I14" s="26" t="s">
        <v>4378</v>
      </c>
      <c r="J14" s="26" t="s">
        <v>4323</v>
      </c>
      <c r="K14" s="5" t="s">
        <v>4322</v>
      </c>
      <c r="L14" s="89" t="s">
        <v>4324</v>
      </c>
      <c r="M14" s="89" t="s">
        <v>4379</v>
      </c>
    </row>
    <row r="15" spans="1:13" ht="87.75" customHeight="1">
      <c r="A15" s="38" t="s">
        <v>4292</v>
      </c>
      <c r="B15" s="65">
        <v>3076</v>
      </c>
      <c r="C15" s="70" t="s">
        <v>4326</v>
      </c>
      <c r="D15" s="26" t="s">
        <v>4315</v>
      </c>
      <c r="E15" s="31" t="s">
        <v>19</v>
      </c>
      <c r="F15" s="26" t="s">
        <v>4327</v>
      </c>
      <c r="G15" s="26" t="s">
        <v>4328</v>
      </c>
      <c r="H15" s="26" t="s">
        <v>4329</v>
      </c>
      <c r="I15" s="26" t="s">
        <v>4332</v>
      </c>
      <c r="J15" s="26" t="s">
        <v>4333</v>
      </c>
      <c r="K15" s="5" t="s">
        <v>4322</v>
      </c>
      <c r="L15" s="89" t="s">
        <v>4334</v>
      </c>
      <c r="M15" s="89" t="s">
        <v>4335</v>
      </c>
    </row>
    <row r="16" spans="1:13" ht="87.75" customHeight="1">
      <c r="A16" s="38" t="s">
        <v>153</v>
      </c>
      <c r="B16" s="65">
        <v>4985</v>
      </c>
      <c r="C16" s="70" t="s">
        <v>4358</v>
      </c>
      <c r="D16" s="26" t="s">
        <v>18</v>
      </c>
      <c r="E16" s="31" t="s">
        <v>31</v>
      </c>
      <c r="F16" s="26" t="s">
        <v>4359</v>
      </c>
      <c r="G16" s="26" t="s">
        <v>4360</v>
      </c>
      <c r="H16" s="26" t="s">
        <v>4361</v>
      </c>
      <c r="I16" s="26" t="s">
        <v>4364</v>
      </c>
      <c r="J16" s="26" t="s">
        <v>4366</v>
      </c>
      <c r="K16" s="5" t="s">
        <v>4365</v>
      </c>
      <c r="L16" s="89" t="s">
        <v>4367</v>
      </c>
      <c r="M16" s="89" t="s">
        <v>4368</v>
      </c>
    </row>
  </sheetData>
  <autoFilter ref="C1:C8" xr:uid="{EB15344D-0E8A-4D2E-9D24-E475E82AE46A}">
    <sortState xmlns:xlrd2="http://schemas.microsoft.com/office/spreadsheetml/2017/richdata2" ref="A2:R8">
      <sortCondition sortBy="cellColor" ref="C1:C8" dxfId="5"/>
    </sortState>
  </autoFilter>
  <hyperlinks>
    <hyperlink ref="K7" r:id="rId1" display="https://learn.microsoft.com/en-us/previous-versions/windows/it-pro/windows-10/security/threat-protection/auditing/event-4689" xr:uid="{46D41409-4648-420E-8A45-D1BA12A2535E}"/>
    <hyperlink ref="K5" r:id="rId2" display="https://learn.microsoft.com/en-us/previous-versions/windows/it-pro/windows-10/security/threat-protection/auditing/event-4688" xr:uid="{9EAF46E2-21D7-4820-ABFA-1ADFDF4BFD35}"/>
    <hyperlink ref="K6" r:id="rId3" display="https://learn.microsoft.com/en-us/previous-versions/windows/it-pro/windows-10/security/threat-protection/auditing/event-4697" xr:uid="{4CE1640B-2E21-49A5-97F9-42EDF4B6113E}"/>
    <hyperlink ref="K2" r:id="rId4" display="https://learn.microsoft.com/en-us/previous-versions/windows/it-pro/windows-10/security/threat-protection/auditing/event-4698" xr:uid="{408F20E9-2B22-4180-9C95-24737B23B909}"/>
    <hyperlink ref="K4" r:id="rId5" display="https://learn.microsoft.com/en-us/previous-versions/windows/it-pro/windows-10/security/threat-protection/auditing/event-4702" xr:uid="{F8CF42D3-90D6-4F81-912F-E4565E6351CA}"/>
    <hyperlink ref="K8" r:id="rId6" display="https://learn.microsoft.com/en-us/previous-versions/windows/it-pro/windows-10/security/threat-protection/auditing/event-4703" xr:uid="{41707BDD-2EE6-48AE-BC3C-514DEA8209C0}"/>
    <hyperlink ref="K3" r:id="rId7" display="https://learn.microsoft.com/en-us/previous-versions/windows/it-pro/windows-10/security/threat-protection/auditing/event-4699" xr:uid="{C1B9617B-9097-4391-9F6D-908833B1B040}"/>
    <hyperlink ref="K9" r:id="rId8" display="https://learn.microsoft.com/en-us/previous-versions/windows/it-pro/windows-10/security/threat-protection/auditing/event-4697" xr:uid="{FE7DF281-9878-491A-94C0-B81844180592}"/>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2CAB3-4DDC-43BF-9FFC-57DCB27066FE}">
  <sheetPr>
    <tabColor theme="4" tint="0.39997558519241921"/>
  </sheetPr>
  <dimension ref="A1:M17"/>
  <sheetViews>
    <sheetView zoomScale="115" zoomScaleNormal="115" workbookViewId="0"/>
  </sheetViews>
  <sheetFormatPr defaultColWidth="17.7109375" defaultRowHeight="87.75" customHeight="1"/>
  <cols>
    <col min="1" max="1" width="16.7109375" customWidth="1"/>
    <col min="2" max="2" width="10.42578125" customWidth="1"/>
    <col min="4" max="4" width="9.140625" customWidth="1"/>
    <col min="5" max="5" width="10.5703125" customWidth="1"/>
    <col min="6" max="6" width="29" customWidth="1"/>
    <col min="7" max="7" width="35.42578125" customWidth="1"/>
    <col min="8" max="8" width="42.5703125" customWidth="1"/>
    <col min="9" max="9" width="27.28515625" customWidth="1"/>
    <col min="10" max="10" width="33.42578125" customWidth="1"/>
    <col min="11" max="11" width="80.7109375" style="27" customWidth="1"/>
    <col min="12" max="12" width="66.7109375" customWidth="1"/>
    <col min="13" max="13" width="53.28515625" customWidth="1"/>
  </cols>
  <sheetData>
    <row r="1" spans="1:13" ht="87.75" customHeight="1">
      <c r="A1" s="1" t="s">
        <v>0</v>
      </c>
      <c r="B1" s="1" t="s">
        <v>1</v>
      </c>
      <c r="C1" s="1" t="s">
        <v>2</v>
      </c>
      <c r="D1" s="1" t="s">
        <v>3</v>
      </c>
      <c r="E1" s="1" t="s">
        <v>4</v>
      </c>
      <c r="F1" s="1" t="s">
        <v>6</v>
      </c>
      <c r="G1" s="1" t="s">
        <v>7</v>
      </c>
      <c r="H1" s="1" t="s">
        <v>8</v>
      </c>
      <c r="I1" s="1" t="s">
        <v>11</v>
      </c>
      <c r="J1" s="1" t="s">
        <v>12</v>
      </c>
      <c r="K1" s="4" t="s">
        <v>15</v>
      </c>
      <c r="L1" s="91" t="s">
        <v>1455</v>
      </c>
      <c r="M1" s="91" t="s">
        <v>1456</v>
      </c>
    </row>
    <row r="2" spans="1:13" ht="87.75" customHeight="1">
      <c r="A2" s="41" t="s">
        <v>168</v>
      </c>
      <c r="B2" s="65">
        <v>4715</v>
      </c>
      <c r="C2" s="26" t="s">
        <v>742</v>
      </c>
      <c r="D2" s="26" t="s">
        <v>18</v>
      </c>
      <c r="E2" s="31" t="s">
        <v>20</v>
      </c>
      <c r="F2" s="26" t="s">
        <v>1329</v>
      </c>
      <c r="G2" s="26"/>
      <c r="H2" s="26" t="s">
        <v>1228</v>
      </c>
      <c r="I2" s="26" t="s">
        <v>1330</v>
      </c>
      <c r="J2" s="26" t="s">
        <v>1342</v>
      </c>
      <c r="K2" s="5" t="s">
        <v>3390</v>
      </c>
      <c r="L2" s="89" t="s">
        <v>1561</v>
      </c>
      <c r="M2" s="89" t="s">
        <v>1562</v>
      </c>
    </row>
    <row r="3" spans="1:13" ht="87.75" customHeight="1">
      <c r="A3" s="41" t="s">
        <v>168</v>
      </c>
      <c r="B3" s="65">
        <v>4704</v>
      </c>
      <c r="C3" s="26" t="s">
        <v>172</v>
      </c>
      <c r="D3" s="26" t="s">
        <v>18</v>
      </c>
      <c r="E3" s="31" t="s">
        <v>20</v>
      </c>
      <c r="F3" s="26" t="s">
        <v>173</v>
      </c>
      <c r="G3" s="26" t="s">
        <v>744</v>
      </c>
      <c r="H3" s="26" t="s">
        <v>1229</v>
      </c>
      <c r="I3" s="26" t="s">
        <v>1331</v>
      </c>
      <c r="J3" s="26" t="s">
        <v>1343</v>
      </c>
      <c r="K3" s="5" t="s">
        <v>3391</v>
      </c>
      <c r="L3" s="89" t="s">
        <v>1563</v>
      </c>
      <c r="M3" s="89" t="s">
        <v>1564</v>
      </c>
    </row>
    <row r="4" spans="1:13" ht="87.75" customHeight="1">
      <c r="A4" s="41" t="s">
        <v>168</v>
      </c>
      <c r="B4" s="65">
        <v>4719</v>
      </c>
      <c r="C4" s="26" t="s">
        <v>176</v>
      </c>
      <c r="D4" s="26" t="s">
        <v>18</v>
      </c>
      <c r="E4" s="32" t="s">
        <v>84</v>
      </c>
      <c r="F4" s="26" t="s">
        <v>177</v>
      </c>
      <c r="G4" s="26" t="s">
        <v>745</v>
      </c>
      <c r="H4" s="26" t="s">
        <v>1230</v>
      </c>
      <c r="I4" s="26" t="s">
        <v>1332</v>
      </c>
      <c r="J4" s="26" t="s">
        <v>1344</v>
      </c>
      <c r="K4" s="5" t="s">
        <v>3392</v>
      </c>
      <c r="L4" s="89" t="s">
        <v>1565</v>
      </c>
      <c r="M4" s="89" t="s">
        <v>1566</v>
      </c>
    </row>
    <row r="5" spans="1:13" ht="87.75" customHeight="1">
      <c r="A5" s="41" t="s">
        <v>168</v>
      </c>
      <c r="B5" s="65">
        <v>4904</v>
      </c>
      <c r="C5" s="26" t="s">
        <v>752</v>
      </c>
      <c r="D5" s="26" t="s">
        <v>18</v>
      </c>
      <c r="E5" s="31" t="s">
        <v>20</v>
      </c>
      <c r="F5" s="43" t="s">
        <v>582</v>
      </c>
      <c r="G5" s="44" t="s">
        <v>583</v>
      </c>
      <c r="H5" s="26" t="s">
        <v>1241</v>
      </c>
      <c r="I5" s="26" t="s">
        <v>1333</v>
      </c>
      <c r="J5" s="26"/>
      <c r="K5" s="24" t="s">
        <v>3403</v>
      </c>
      <c r="L5" s="89" t="s">
        <v>1587</v>
      </c>
      <c r="M5" s="89" t="s">
        <v>1588</v>
      </c>
    </row>
    <row r="6" spans="1:13" ht="87.75" customHeight="1">
      <c r="A6" s="41" t="s">
        <v>168</v>
      </c>
      <c r="B6" s="65">
        <v>4906</v>
      </c>
      <c r="C6" s="26" t="s">
        <v>585</v>
      </c>
      <c r="D6" s="26" t="s">
        <v>18</v>
      </c>
      <c r="E6" s="30" t="s">
        <v>19</v>
      </c>
      <c r="F6" s="26" t="s">
        <v>586</v>
      </c>
      <c r="G6" s="26" t="s">
        <v>587</v>
      </c>
      <c r="H6" s="26" t="s">
        <v>1242</v>
      </c>
      <c r="I6" s="26" t="s">
        <v>1334</v>
      </c>
      <c r="J6" s="26" t="s">
        <v>1345</v>
      </c>
      <c r="K6" s="24" t="s">
        <v>3404</v>
      </c>
      <c r="L6" s="89" t="s">
        <v>1589</v>
      </c>
      <c r="M6" s="89" t="s">
        <v>1590</v>
      </c>
    </row>
    <row r="7" spans="1:13" ht="87.75" customHeight="1">
      <c r="A7" s="41" t="s">
        <v>168</v>
      </c>
      <c r="B7" s="65">
        <v>4907</v>
      </c>
      <c r="C7" s="26" t="s">
        <v>590</v>
      </c>
      <c r="D7" s="26" t="s">
        <v>18</v>
      </c>
      <c r="E7" s="31" t="s">
        <v>20</v>
      </c>
      <c r="F7" s="26" t="s">
        <v>591</v>
      </c>
      <c r="G7" s="26" t="s">
        <v>592</v>
      </c>
      <c r="H7" s="26" t="s">
        <v>1243</v>
      </c>
      <c r="I7" s="26" t="s">
        <v>1335</v>
      </c>
      <c r="J7" s="26" t="s">
        <v>1346</v>
      </c>
      <c r="K7" s="24" t="s">
        <v>3405</v>
      </c>
      <c r="L7" s="89" t="s">
        <v>1591</v>
      </c>
      <c r="M7" s="89" t="s">
        <v>1592</v>
      </c>
    </row>
    <row r="8" spans="1:13" ht="87.75" customHeight="1">
      <c r="A8" s="40" t="s">
        <v>153</v>
      </c>
      <c r="B8" s="65">
        <v>4657</v>
      </c>
      <c r="C8" s="70" t="s">
        <v>158</v>
      </c>
      <c r="D8" s="26" t="s">
        <v>18</v>
      </c>
      <c r="E8" s="31" t="s">
        <v>20</v>
      </c>
      <c r="F8" s="26" t="s">
        <v>159</v>
      </c>
      <c r="G8" s="26" t="s">
        <v>160</v>
      </c>
      <c r="H8" s="26" t="s">
        <v>1184</v>
      </c>
      <c r="I8" s="26"/>
      <c r="J8" s="26"/>
      <c r="K8" s="5" t="s">
        <v>3347</v>
      </c>
      <c r="L8" s="89" t="s">
        <v>1473</v>
      </c>
      <c r="M8" s="89" t="s">
        <v>1474</v>
      </c>
    </row>
    <row r="9" spans="1:13" ht="87.75" customHeight="1">
      <c r="A9" s="40" t="s">
        <v>153</v>
      </c>
      <c r="B9" s="65">
        <v>4656</v>
      </c>
      <c r="C9" s="29" t="s">
        <v>154</v>
      </c>
      <c r="D9" s="26" t="s">
        <v>18</v>
      </c>
      <c r="E9" s="31" t="s">
        <v>20</v>
      </c>
      <c r="F9" s="26" t="s">
        <v>155</v>
      </c>
      <c r="G9" s="26" t="s">
        <v>156</v>
      </c>
      <c r="H9" s="26" t="s">
        <v>1209</v>
      </c>
      <c r="I9" s="26"/>
      <c r="J9" s="26" t="s">
        <v>1347</v>
      </c>
      <c r="K9" s="5" t="s">
        <v>3371</v>
      </c>
      <c r="L9" s="89" t="s">
        <v>1523</v>
      </c>
      <c r="M9" s="89" t="s">
        <v>1524</v>
      </c>
    </row>
    <row r="10" spans="1:13" ht="87.75" customHeight="1">
      <c r="A10" s="40" t="s">
        <v>153</v>
      </c>
      <c r="B10" s="65">
        <v>4663</v>
      </c>
      <c r="C10" s="26" t="s">
        <v>161</v>
      </c>
      <c r="D10" s="26" t="s">
        <v>18</v>
      </c>
      <c r="E10" s="31" t="s">
        <v>20</v>
      </c>
      <c r="F10" s="26" t="s">
        <v>162</v>
      </c>
      <c r="G10" s="26" t="s">
        <v>163</v>
      </c>
      <c r="H10" s="26" t="s">
        <v>1210</v>
      </c>
      <c r="I10" s="26"/>
      <c r="J10" s="26"/>
      <c r="K10" s="5" t="s">
        <v>3372</v>
      </c>
      <c r="L10" s="89" t="s">
        <v>1525</v>
      </c>
      <c r="M10" s="89" t="s">
        <v>1526</v>
      </c>
    </row>
    <row r="11" spans="1:13" ht="87.75" customHeight="1">
      <c r="A11" s="40" t="s">
        <v>153</v>
      </c>
      <c r="B11" s="65">
        <v>4662</v>
      </c>
      <c r="C11" s="26" t="s">
        <v>164</v>
      </c>
      <c r="D11" s="26" t="s">
        <v>18</v>
      </c>
      <c r="E11" s="32" t="s">
        <v>84</v>
      </c>
      <c r="F11" s="26" t="s">
        <v>165</v>
      </c>
      <c r="G11" s="26" t="s">
        <v>166</v>
      </c>
      <c r="H11" s="26" t="s">
        <v>1211</v>
      </c>
      <c r="I11" s="26"/>
      <c r="J11" s="26" t="s">
        <v>1348</v>
      </c>
      <c r="K11" s="5" t="s">
        <v>3373</v>
      </c>
      <c r="L11" s="89" t="s">
        <v>1527</v>
      </c>
      <c r="M11" s="89" t="s">
        <v>1528</v>
      </c>
    </row>
    <row r="12" spans="1:13" ht="87.75" customHeight="1">
      <c r="A12" s="40" t="s">
        <v>153</v>
      </c>
      <c r="B12" s="65">
        <v>4660</v>
      </c>
      <c r="C12" s="26" t="s">
        <v>595</v>
      </c>
      <c r="D12" s="26" t="s">
        <v>18</v>
      </c>
      <c r="E12" s="30" t="s">
        <v>19</v>
      </c>
      <c r="F12" s="26" t="s">
        <v>596</v>
      </c>
      <c r="G12" s="26" t="s">
        <v>597</v>
      </c>
      <c r="H12" s="26" t="s">
        <v>1240</v>
      </c>
      <c r="I12" s="26" t="s">
        <v>1336</v>
      </c>
      <c r="J12" s="26" t="s">
        <v>1349</v>
      </c>
      <c r="K12" s="24" t="s">
        <v>3402</v>
      </c>
      <c r="L12" s="89" t="s">
        <v>1585</v>
      </c>
      <c r="M12" s="89" t="s">
        <v>1586</v>
      </c>
    </row>
    <row r="13" spans="1:13" ht="87.75" customHeight="1">
      <c r="A13" s="42" t="s">
        <v>180</v>
      </c>
      <c r="B13" s="65">
        <v>5140</v>
      </c>
      <c r="C13" s="70" t="s">
        <v>191</v>
      </c>
      <c r="D13" s="26" t="s">
        <v>18</v>
      </c>
      <c r="E13" s="31" t="s">
        <v>20</v>
      </c>
      <c r="F13" s="26" t="s">
        <v>192</v>
      </c>
      <c r="G13" s="26" t="s">
        <v>193</v>
      </c>
      <c r="H13" s="26" t="s">
        <v>1183</v>
      </c>
      <c r="I13" s="26" t="s">
        <v>1337</v>
      </c>
      <c r="J13" s="26" t="s">
        <v>1350</v>
      </c>
      <c r="K13" s="5" t="s">
        <v>3346</v>
      </c>
      <c r="L13" s="89" t="s">
        <v>1471</v>
      </c>
      <c r="M13" s="89" t="s">
        <v>1472</v>
      </c>
    </row>
    <row r="14" spans="1:13" ht="87.75" customHeight="1">
      <c r="A14" s="42" t="s">
        <v>180</v>
      </c>
      <c r="B14" s="65">
        <v>5145</v>
      </c>
      <c r="C14" s="29" t="s">
        <v>187</v>
      </c>
      <c r="D14" s="26" t="s">
        <v>18</v>
      </c>
      <c r="E14" s="30" t="s">
        <v>19</v>
      </c>
      <c r="F14" s="26" t="s">
        <v>188</v>
      </c>
      <c r="G14" s="26" t="s">
        <v>731</v>
      </c>
      <c r="H14" s="26" t="s">
        <v>1195</v>
      </c>
      <c r="I14" s="26" t="s">
        <v>1338</v>
      </c>
      <c r="J14" s="26" t="s">
        <v>1351</v>
      </c>
      <c r="K14" s="5" t="s">
        <v>3357</v>
      </c>
      <c r="L14" s="89" t="s">
        <v>1495</v>
      </c>
      <c r="M14" s="89" t="s">
        <v>1496</v>
      </c>
    </row>
    <row r="15" spans="1:13" ht="87.75" customHeight="1">
      <c r="A15" s="42" t="s">
        <v>180</v>
      </c>
      <c r="B15" s="65">
        <v>5142</v>
      </c>
      <c r="C15" s="26" t="s">
        <v>181</v>
      </c>
      <c r="D15" s="26" t="s">
        <v>18</v>
      </c>
      <c r="E15" s="30" t="s">
        <v>19</v>
      </c>
      <c r="F15" s="26" t="s">
        <v>182</v>
      </c>
      <c r="G15" s="26" t="s">
        <v>183</v>
      </c>
      <c r="H15" s="26" t="s">
        <v>1236</v>
      </c>
      <c r="I15" s="26" t="s">
        <v>1339</v>
      </c>
      <c r="J15" s="26" t="s">
        <v>1352</v>
      </c>
      <c r="K15" s="5" t="s">
        <v>3398</v>
      </c>
      <c r="L15" s="89" t="s">
        <v>1577</v>
      </c>
      <c r="M15" s="89" t="s">
        <v>1578</v>
      </c>
    </row>
    <row r="16" spans="1:13" ht="87.75" customHeight="1">
      <c r="A16" s="53" t="s">
        <v>242</v>
      </c>
      <c r="B16" s="65">
        <v>4670</v>
      </c>
      <c r="C16" s="26" t="s">
        <v>243</v>
      </c>
      <c r="D16" s="26" t="s">
        <v>18</v>
      </c>
      <c r="E16" s="31" t="s">
        <v>20</v>
      </c>
      <c r="F16" s="26" t="s">
        <v>739</v>
      </c>
      <c r="G16" s="26" t="s">
        <v>244</v>
      </c>
      <c r="H16" s="26" t="s">
        <v>1226</v>
      </c>
      <c r="I16" s="26" t="s">
        <v>1340</v>
      </c>
      <c r="J16" s="26" t="s">
        <v>1353</v>
      </c>
      <c r="K16" s="5" t="s">
        <v>3388</v>
      </c>
      <c r="L16" s="89" t="s">
        <v>1557</v>
      </c>
      <c r="M16" s="89" t="s">
        <v>1558</v>
      </c>
    </row>
    <row r="17" spans="1:13" ht="87.75" customHeight="1">
      <c r="A17" s="53" t="s">
        <v>242</v>
      </c>
      <c r="B17" s="65">
        <v>4912</v>
      </c>
      <c r="C17" s="26" t="s">
        <v>740</v>
      </c>
      <c r="D17" s="26" t="s">
        <v>18</v>
      </c>
      <c r="E17" s="31" t="s">
        <v>20</v>
      </c>
      <c r="F17" s="26" t="s">
        <v>741</v>
      </c>
      <c r="G17" s="26" t="s">
        <v>248</v>
      </c>
      <c r="H17" s="26" t="s">
        <v>1227</v>
      </c>
      <c r="I17" s="26" t="s">
        <v>1341</v>
      </c>
      <c r="J17" s="26" t="s">
        <v>1354</v>
      </c>
      <c r="K17" s="5" t="s">
        <v>3389</v>
      </c>
      <c r="L17" s="89" t="s">
        <v>1559</v>
      </c>
      <c r="M17" s="89" t="s">
        <v>1560</v>
      </c>
    </row>
  </sheetData>
  <autoFilter ref="C1:C17" xr:uid="{EB15344D-0E8A-4D2E-9D24-E475E82AE46A}">
    <sortState xmlns:xlrd2="http://schemas.microsoft.com/office/spreadsheetml/2017/richdata2" ref="A2:R17">
      <sortCondition sortBy="cellColor" ref="C1:C17" dxfId="4"/>
    </sortState>
  </autoFilter>
  <hyperlinks>
    <hyperlink ref="K9" r:id="rId1" display="https://learn.microsoft.com/en-us/previous-versions/windows/it-pro/windows-10/security/threat-protection/auditing/event-4656" xr:uid="{C692744D-329D-483B-A5D9-6D823D59C554}"/>
    <hyperlink ref="K8" r:id="rId2" display="https://learn.microsoft.com/en-us/previous-versions/windows/it-pro/windows-10/security/threat-protection/auditing/event-4657" xr:uid="{66567121-6380-4781-9AB2-83C8CF9AC434}"/>
    <hyperlink ref="K10" r:id="rId3" display="https://learn.microsoft.com/en-us/previous-versions/windows/it-pro/windows-10/security/threat-protection/auditing/event-4663" xr:uid="{B63E950B-0E23-4D5B-B264-CE3132BE1DFB}"/>
    <hyperlink ref="K11" r:id="rId4" display="https://learn.microsoft.com/en-us/previous-versions/windows/it-pro/windows-10/security/threat-protection/auditing/event-4662" xr:uid="{9E873F01-FE23-4863-B135-6BF484028EAE}"/>
    <hyperlink ref="K16" r:id="rId5" display="https://learn.microsoft.com/en-us/previous-versions/windows/it-pro/windows-10/security/threat-protection/auditing/event-4670" xr:uid="{E8181BDE-C7D8-4AB8-B093-FE9D9870EE23}"/>
    <hyperlink ref="K17" r:id="rId6" display="https://learn.microsoft.com/en-us/previous-versions/windows/it-pro/windows-10/security/threat-protection/auditing/event-4912" xr:uid="{C9420E07-1C58-40E3-8880-BC06DA62006A}"/>
    <hyperlink ref="K2" r:id="rId7" display="https://learn.microsoft.com/en-us/previous-versions/windows/it-pro/windows-10/security/threat-protection/auditing/event-4715" xr:uid="{CC40E23A-C63B-4E02-8E7B-B1CC88E437CB}"/>
    <hyperlink ref="K3" r:id="rId8" display="https://learn.microsoft.com/en-us/previous-versions/windows/it-pro/windows-10/security/threat-protection/auditing/event-4704" xr:uid="{999DE343-454A-401E-B8A8-C98287B27342}"/>
    <hyperlink ref="K4" r:id="rId9" display="https://learn.microsoft.com/en-us/previous-versions/windows/it-pro/windows-10/security/threat-protection/auditing/event-4719" xr:uid="{B3142E70-B081-4F64-AE9A-6DAF7E409391}"/>
    <hyperlink ref="K15" r:id="rId10" display="https://learn.microsoft.com/en-us/previous-versions/windows/it-pro/windows-10/security/threat-protection/auditing/event-5142" xr:uid="{35C3B857-984A-43AE-A90F-CC9833C7CA69}"/>
    <hyperlink ref="K14" r:id="rId11" display="https://learn.microsoft.com/en-us/previous-versions/windows/it-pro/windows-10/security/threat-protection/auditing/event-5145" xr:uid="{9906761A-3FF8-4A09-830A-98BCB1893CA0}"/>
    <hyperlink ref="K13" r:id="rId12" display="https://learn.microsoft.com/en-us/previous-versions/windows/it-pro/windows-10/security/threat-protection/auditing/event-5140" xr:uid="{30CEF090-5EF3-4B1E-9886-CE015336593C}"/>
    <hyperlink ref="K12" r:id="rId13" display="https://learn.microsoft.com/en-us/previous-versions/windows/it-pro/windows-10/security/threat-protection/auditing/event-4660" xr:uid="{F73B20C2-F31B-4330-A2AC-2A0D9548FAEB}"/>
    <hyperlink ref="K5" r:id="rId14" display="https://learn.microsoft.com/en-us/previous-versions/windows/it-pro/windows-10/security/threat-protection/auditing/event-4904" xr:uid="{D61525A0-8CEA-4C1E-B7CF-A0CEDFD574A9}"/>
    <hyperlink ref="K6" r:id="rId15" display="https://learn.microsoft.com/en-us/previous-versions/windows/it-pro/windows-10/security/threat-protection/auditing/event-4906" xr:uid="{F4C873F8-D435-413F-A1CE-DB36E8B0C1FA}"/>
    <hyperlink ref="K7" r:id="rId16" display="https://learn.microsoft.com/en-us/previous-versions/windows/it-pro/windows-10/security/threat-protection/auditing/event-4907" xr:uid="{3C6B0520-3CE1-4730-9533-A1A3CDC2E996}"/>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72720-E811-454E-9133-3411110E214C}">
  <sheetPr>
    <tabColor theme="4" tint="0.39997558519241921"/>
  </sheetPr>
  <dimension ref="A1:M8"/>
  <sheetViews>
    <sheetView zoomScale="115" zoomScaleNormal="115" workbookViewId="0"/>
  </sheetViews>
  <sheetFormatPr defaultColWidth="17.7109375" defaultRowHeight="87.75" customHeight="1"/>
  <cols>
    <col min="1" max="1" width="16.7109375" customWidth="1"/>
    <col min="2" max="2" width="10.42578125" customWidth="1"/>
    <col min="4" max="4" width="9.140625" customWidth="1"/>
    <col min="5" max="5" width="10.5703125" customWidth="1"/>
    <col min="6" max="6" width="29" customWidth="1"/>
    <col min="7" max="7" width="35.42578125" customWidth="1"/>
    <col min="8" max="8" width="42.5703125" customWidth="1"/>
    <col min="9" max="9" width="27.28515625" customWidth="1"/>
    <col min="10" max="10" width="33.42578125" customWidth="1"/>
    <col min="11" max="11" width="80.7109375" style="27" customWidth="1"/>
    <col min="12" max="12" width="66.7109375" customWidth="1"/>
    <col min="13" max="13" width="53.28515625" customWidth="1"/>
  </cols>
  <sheetData>
    <row r="1" spans="1:13" ht="87.75" customHeight="1">
      <c r="A1" s="1" t="s">
        <v>0</v>
      </c>
      <c r="B1" s="1" t="s">
        <v>1</v>
      </c>
      <c r="C1" s="1" t="s">
        <v>2</v>
      </c>
      <c r="D1" s="1" t="s">
        <v>3</v>
      </c>
      <c r="E1" s="1" t="s">
        <v>4</v>
      </c>
      <c r="F1" s="1" t="s">
        <v>6</v>
      </c>
      <c r="G1" s="1" t="s">
        <v>7</v>
      </c>
      <c r="H1" s="1" t="s">
        <v>8</v>
      </c>
      <c r="I1" s="1" t="s">
        <v>11</v>
      </c>
      <c r="J1" s="1" t="s">
        <v>12</v>
      </c>
      <c r="K1" s="4" t="s">
        <v>15</v>
      </c>
      <c r="L1" s="91" t="s">
        <v>1455</v>
      </c>
      <c r="M1" s="91" t="s">
        <v>1456</v>
      </c>
    </row>
    <row r="2" spans="1:13" ht="87.75" customHeight="1">
      <c r="A2" s="45" t="s">
        <v>196</v>
      </c>
      <c r="B2" s="65">
        <v>4104</v>
      </c>
      <c r="C2" s="70" t="s">
        <v>722</v>
      </c>
      <c r="D2" s="26" t="s">
        <v>197</v>
      </c>
      <c r="E2" s="31" t="s">
        <v>20</v>
      </c>
      <c r="F2" s="26" t="s">
        <v>724</v>
      </c>
      <c r="G2" s="26" t="s">
        <v>729</v>
      </c>
      <c r="H2" s="26" t="s">
        <v>1180</v>
      </c>
      <c r="I2" s="26"/>
      <c r="J2" s="26"/>
      <c r="K2" s="5" t="s">
        <v>723</v>
      </c>
      <c r="L2" s="89" t="s">
        <v>1465</v>
      </c>
      <c r="M2" s="89" t="s">
        <v>1466</v>
      </c>
    </row>
    <row r="3" spans="1:13" ht="87.75" customHeight="1">
      <c r="A3" s="45" t="s">
        <v>196</v>
      </c>
      <c r="B3" s="65">
        <v>4103</v>
      </c>
      <c r="C3" s="29" t="s">
        <v>198</v>
      </c>
      <c r="D3" s="26" t="s">
        <v>197</v>
      </c>
      <c r="E3" s="31" t="s">
        <v>20</v>
      </c>
      <c r="F3" s="26" t="s">
        <v>199</v>
      </c>
      <c r="G3" s="26" t="s">
        <v>728</v>
      </c>
      <c r="H3" s="26" t="s">
        <v>1192</v>
      </c>
      <c r="I3" s="26"/>
      <c r="J3" s="26"/>
      <c r="K3" s="5" t="s">
        <v>1724</v>
      </c>
      <c r="L3" s="89" t="s">
        <v>1489</v>
      </c>
      <c r="M3" s="89" t="s">
        <v>1490</v>
      </c>
    </row>
    <row r="4" spans="1:13" ht="87.75" customHeight="1">
      <c r="A4" s="46" t="s">
        <v>200</v>
      </c>
      <c r="B4" s="65">
        <v>4798</v>
      </c>
      <c r="C4" s="26" t="s">
        <v>201</v>
      </c>
      <c r="D4" s="26" t="s">
        <v>18</v>
      </c>
      <c r="E4" s="30" t="s">
        <v>19</v>
      </c>
      <c r="F4" s="26" t="s">
        <v>202</v>
      </c>
      <c r="G4" s="26" t="s">
        <v>203</v>
      </c>
      <c r="H4" s="26" t="s">
        <v>1231</v>
      </c>
      <c r="I4" s="26" t="s">
        <v>1355</v>
      </c>
      <c r="J4" s="26" t="s">
        <v>1360</v>
      </c>
      <c r="K4" s="5" t="s">
        <v>3393</v>
      </c>
      <c r="L4" s="89" t="s">
        <v>1567</v>
      </c>
      <c r="M4" s="89" t="s">
        <v>1568</v>
      </c>
    </row>
    <row r="5" spans="1:13" ht="87.75" customHeight="1">
      <c r="A5" s="46" t="s">
        <v>200</v>
      </c>
      <c r="B5" s="65">
        <v>4799</v>
      </c>
      <c r="C5" s="26" t="s">
        <v>206</v>
      </c>
      <c r="D5" s="26" t="s">
        <v>18</v>
      </c>
      <c r="E5" s="30" t="s">
        <v>19</v>
      </c>
      <c r="F5" s="26" t="s">
        <v>207</v>
      </c>
      <c r="G5" s="26" t="s">
        <v>746</v>
      </c>
      <c r="H5" s="26" t="s">
        <v>1232</v>
      </c>
      <c r="I5" s="26" t="s">
        <v>1356</v>
      </c>
      <c r="J5" s="26" t="s">
        <v>1361</v>
      </c>
      <c r="K5" s="5" t="s">
        <v>3394</v>
      </c>
      <c r="L5" s="89" t="s">
        <v>1569</v>
      </c>
      <c r="M5" s="89" t="s">
        <v>1570</v>
      </c>
    </row>
    <row r="6" spans="1:13" ht="87.75" customHeight="1">
      <c r="A6" s="46" t="s">
        <v>200</v>
      </c>
      <c r="B6" s="65">
        <v>5136</v>
      </c>
      <c r="C6" s="26" t="s">
        <v>210</v>
      </c>
      <c r="D6" s="26" t="s">
        <v>18</v>
      </c>
      <c r="E6" s="30" t="s">
        <v>19</v>
      </c>
      <c r="F6" s="26" t="s">
        <v>211</v>
      </c>
      <c r="G6" s="26" t="s">
        <v>747</v>
      </c>
      <c r="H6" s="26" t="s">
        <v>1233</v>
      </c>
      <c r="I6" s="26" t="s">
        <v>1357</v>
      </c>
      <c r="J6" s="26" t="s">
        <v>1348</v>
      </c>
      <c r="K6" s="5" t="s">
        <v>3395</v>
      </c>
      <c r="L6" s="89" t="s">
        <v>1571</v>
      </c>
      <c r="M6" s="89" t="s">
        <v>1572</v>
      </c>
    </row>
    <row r="7" spans="1:13" ht="87.75" customHeight="1">
      <c r="A7" s="46" t="s">
        <v>200</v>
      </c>
      <c r="B7" s="65">
        <v>5137</v>
      </c>
      <c r="C7" s="26" t="s">
        <v>213</v>
      </c>
      <c r="D7" s="26" t="s">
        <v>18</v>
      </c>
      <c r="E7" s="30" t="s">
        <v>19</v>
      </c>
      <c r="F7" s="26" t="s">
        <v>214</v>
      </c>
      <c r="G7" s="26" t="s">
        <v>215</v>
      </c>
      <c r="H7" s="26" t="s">
        <v>1234</v>
      </c>
      <c r="I7" s="26" t="s">
        <v>1358</v>
      </c>
      <c r="J7" s="26" t="s">
        <v>1362</v>
      </c>
      <c r="K7" s="5" t="s">
        <v>3396</v>
      </c>
      <c r="L7" s="89" t="s">
        <v>1573</v>
      </c>
      <c r="M7" s="89" t="s">
        <v>1574</v>
      </c>
    </row>
    <row r="8" spans="1:13" ht="87.75" customHeight="1">
      <c r="A8" s="46" t="s">
        <v>200</v>
      </c>
      <c r="B8" s="65">
        <v>5138</v>
      </c>
      <c r="C8" s="26" t="s">
        <v>748</v>
      </c>
      <c r="D8" s="26" t="s">
        <v>18</v>
      </c>
      <c r="E8" s="30" t="s">
        <v>19</v>
      </c>
      <c r="F8" s="26" t="s">
        <v>749</v>
      </c>
      <c r="G8" s="26" t="s">
        <v>750</v>
      </c>
      <c r="H8" s="26" t="s">
        <v>1235</v>
      </c>
      <c r="I8" s="26" t="s">
        <v>1359</v>
      </c>
      <c r="J8" s="26"/>
      <c r="K8" s="5" t="s">
        <v>3397</v>
      </c>
      <c r="L8" s="89" t="s">
        <v>1575</v>
      </c>
      <c r="M8" s="89" t="s">
        <v>1576</v>
      </c>
    </row>
  </sheetData>
  <autoFilter ref="C1:C8" xr:uid="{EB15344D-0E8A-4D2E-9D24-E475E82AE46A}">
    <sortState xmlns:xlrd2="http://schemas.microsoft.com/office/spreadsheetml/2017/richdata2" ref="A2:R8">
      <sortCondition sortBy="cellColor" ref="C1:C8" dxfId="3"/>
    </sortState>
  </autoFilter>
  <hyperlinks>
    <hyperlink ref="K3" r:id="rId1" display="https://learn.microsoft.com/en-us/previous-versions/windows/it-pro/windows-10/security/threat-protection/auditing/event-4103" xr:uid="{F9767E32-7AB8-481D-830C-240770FE9BDC}"/>
    <hyperlink ref="K4" r:id="rId2" display="https://learn.microsoft.com/en-us/previous-versions/windows/it-pro/windows-10/security/threat-protection/auditing/event-4798" xr:uid="{FD1F616C-F5AA-48F9-86B8-A65618CBC0D7}"/>
    <hyperlink ref="K5" r:id="rId3" display="https://learn.microsoft.com/en-us/previous-versions/windows/it-pro/windows-10/security/threat-protection/auditing/event-4799" xr:uid="{F294C5A5-3701-44B8-8F40-162B393A8B34}"/>
    <hyperlink ref="K6" r:id="rId4" display="https://learn.microsoft.com/en-us/previous-versions/windows/it-pro/windows-10/security/threat-protection/auditing/event-5136" xr:uid="{29DADB30-98CB-4AC7-A142-E8A7159FCF2D}"/>
    <hyperlink ref="K8" r:id="rId5" display="https://learn.microsoft.com/en-us/previous-versions/windows/it-pro/windows-10/security/threat-protection/auditing/event-5138" xr:uid="{9331CCEB-E773-49CD-8C10-493EA78C2FB2}"/>
    <hyperlink ref="K7" r:id="rId6" display="https://learn.microsoft.com/en-us/previous-versions/windows/it-pro/windows-10/security/threat-protection/auditing/event-5137" xr:uid="{078C3CEF-3D4A-439B-A8C9-4CBB66D85781}"/>
    <hyperlink ref="K2" r:id="rId7" location="script-block-logging" xr:uid="{0976861F-AB6F-4041-89EF-DE8211D6C38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D6C7F-3C93-47C3-B927-F89030B13CC9}">
  <sheetPr>
    <tabColor theme="4" tint="0.39997558519241921"/>
  </sheetPr>
  <dimension ref="A1:M12"/>
  <sheetViews>
    <sheetView zoomScale="115" zoomScaleNormal="115" workbookViewId="0"/>
  </sheetViews>
  <sheetFormatPr defaultColWidth="17.7109375" defaultRowHeight="87.75" customHeight="1"/>
  <cols>
    <col min="1" max="1" width="16.7109375" customWidth="1"/>
    <col min="2" max="2" width="10.42578125" customWidth="1"/>
    <col min="4" max="4" width="9.140625" customWidth="1"/>
    <col min="5" max="5" width="10.5703125" customWidth="1"/>
    <col min="6" max="6" width="29" customWidth="1"/>
    <col min="7" max="7" width="35.42578125" customWidth="1"/>
    <col min="8" max="8" width="42.5703125" customWidth="1"/>
    <col min="9" max="9" width="27.28515625" customWidth="1"/>
    <col min="10" max="10" width="33.42578125" customWidth="1"/>
    <col min="11" max="11" width="80.7109375" style="27" customWidth="1"/>
    <col min="12" max="12" width="66.7109375" customWidth="1"/>
    <col min="13" max="13" width="53.28515625" customWidth="1"/>
  </cols>
  <sheetData>
    <row r="1" spans="1:13" ht="87.75" customHeight="1">
      <c r="A1" s="1" t="s">
        <v>0</v>
      </c>
      <c r="B1" s="1" t="s">
        <v>1</v>
      </c>
      <c r="C1" s="1" t="s">
        <v>2</v>
      </c>
      <c r="D1" s="1" t="s">
        <v>3</v>
      </c>
      <c r="E1" s="1" t="s">
        <v>4</v>
      </c>
      <c r="F1" s="1" t="s">
        <v>6</v>
      </c>
      <c r="G1" s="1" t="s">
        <v>7</v>
      </c>
      <c r="H1" s="1" t="s">
        <v>8</v>
      </c>
      <c r="I1" s="1" t="s">
        <v>11</v>
      </c>
      <c r="J1" s="1" t="s">
        <v>12</v>
      </c>
      <c r="K1" s="4" t="s">
        <v>15</v>
      </c>
      <c r="L1" s="91" t="s">
        <v>1455</v>
      </c>
      <c r="M1" s="91" t="s">
        <v>1456</v>
      </c>
    </row>
    <row r="2" spans="1:13" ht="87.75" customHeight="1">
      <c r="A2" s="50" t="s">
        <v>228</v>
      </c>
      <c r="B2" s="65">
        <v>4946</v>
      </c>
      <c r="C2" s="70" t="s">
        <v>229</v>
      </c>
      <c r="D2" s="26" t="s">
        <v>18</v>
      </c>
      <c r="E2" s="31" t="s">
        <v>20</v>
      </c>
      <c r="F2" s="26" t="s">
        <v>230</v>
      </c>
      <c r="G2" s="26" t="s">
        <v>231</v>
      </c>
      <c r="H2" s="26" t="s">
        <v>1185</v>
      </c>
      <c r="I2" s="26"/>
      <c r="J2" s="26"/>
      <c r="K2" s="5" t="s">
        <v>3348</v>
      </c>
      <c r="L2" s="89" t="s">
        <v>1475</v>
      </c>
      <c r="M2" s="89" t="s">
        <v>1476</v>
      </c>
    </row>
    <row r="3" spans="1:13" ht="87.75" customHeight="1">
      <c r="A3" s="50" t="s">
        <v>228</v>
      </c>
      <c r="B3" s="65">
        <v>4947</v>
      </c>
      <c r="C3" s="26" t="s">
        <v>232</v>
      </c>
      <c r="D3" s="26" t="s">
        <v>18</v>
      </c>
      <c r="E3" s="31" t="s">
        <v>20</v>
      </c>
      <c r="F3" s="26" t="s">
        <v>233</v>
      </c>
      <c r="G3" s="26" t="s">
        <v>234</v>
      </c>
      <c r="H3" s="26" t="s">
        <v>1215</v>
      </c>
      <c r="I3" s="26"/>
      <c r="J3" s="26"/>
      <c r="K3" s="5" t="s">
        <v>3377</v>
      </c>
      <c r="L3" s="89" t="s">
        <v>1535</v>
      </c>
      <c r="M3" s="89" t="s">
        <v>1536</v>
      </c>
    </row>
    <row r="4" spans="1:13" ht="87.75" customHeight="1">
      <c r="A4" s="47" t="s">
        <v>228</v>
      </c>
      <c r="B4" s="65">
        <v>5152</v>
      </c>
      <c r="C4" s="26" t="s">
        <v>1363</v>
      </c>
      <c r="D4" s="26" t="s">
        <v>18</v>
      </c>
      <c r="E4" s="30" t="s">
        <v>19</v>
      </c>
      <c r="F4" s="26" t="s">
        <v>1364</v>
      </c>
      <c r="G4" s="26" t="s">
        <v>602</v>
      </c>
      <c r="H4" s="26" t="s">
        <v>1239</v>
      </c>
      <c r="I4" s="26" t="s">
        <v>1365</v>
      </c>
      <c r="J4" s="26" t="s">
        <v>1366</v>
      </c>
      <c r="K4" s="25" t="s">
        <v>3431</v>
      </c>
      <c r="L4" s="89" t="s">
        <v>1583</v>
      </c>
      <c r="M4" s="89" t="s">
        <v>1659</v>
      </c>
    </row>
    <row r="5" spans="1:13" ht="87.75" customHeight="1">
      <c r="A5" s="51" t="s">
        <v>235</v>
      </c>
      <c r="B5" s="65">
        <v>5156</v>
      </c>
      <c r="C5" s="29" t="s">
        <v>236</v>
      </c>
      <c r="D5" s="26" t="s">
        <v>18</v>
      </c>
      <c r="E5" s="30" t="s">
        <v>19</v>
      </c>
      <c r="F5" s="26" t="s">
        <v>237</v>
      </c>
      <c r="G5" s="26" t="s">
        <v>727</v>
      </c>
      <c r="H5" s="26" t="s">
        <v>1191</v>
      </c>
      <c r="I5" s="26"/>
      <c r="J5" s="26" t="s">
        <v>1367</v>
      </c>
      <c r="K5" s="5" t="s">
        <v>3354</v>
      </c>
      <c r="L5" s="89" t="s">
        <v>1487</v>
      </c>
      <c r="M5" s="89" t="s">
        <v>1488</v>
      </c>
    </row>
    <row r="6" spans="1:13" ht="87.75" customHeight="1">
      <c r="A6" s="51" t="s">
        <v>235</v>
      </c>
      <c r="B6" s="65">
        <v>5157</v>
      </c>
      <c r="C6" s="26" t="s">
        <v>239</v>
      </c>
      <c r="D6" s="26" t="s">
        <v>18</v>
      </c>
      <c r="E6" s="30" t="s">
        <v>19</v>
      </c>
      <c r="F6" s="26" t="s">
        <v>240</v>
      </c>
      <c r="G6" s="26" t="s">
        <v>241</v>
      </c>
      <c r="H6" s="26" t="s">
        <v>1216</v>
      </c>
      <c r="I6" s="26"/>
      <c r="J6" s="26"/>
      <c r="K6" s="5" t="s">
        <v>3378</v>
      </c>
      <c r="L6" s="89" t="s">
        <v>1537</v>
      </c>
      <c r="M6" s="89" t="s">
        <v>1538</v>
      </c>
    </row>
    <row r="7" spans="1:13" ht="87.75" customHeight="1">
      <c r="A7" s="49" t="s">
        <v>218</v>
      </c>
      <c r="B7" s="65">
        <v>1102</v>
      </c>
      <c r="C7" s="70" t="s">
        <v>225</v>
      </c>
      <c r="D7" s="26" t="s">
        <v>18</v>
      </c>
      <c r="E7" s="32" t="s">
        <v>84</v>
      </c>
      <c r="F7" s="26" t="s">
        <v>226</v>
      </c>
      <c r="G7" s="26" t="s">
        <v>227</v>
      </c>
      <c r="H7" s="26" t="s">
        <v>1179</v>
      </c>
      <c r="I7" s="26"/>
      <c r="J7" s="26"/>
      <c r="K7" s="5" t="s">
        <v>3344</v>
      </c>
      <c r="L7" s="89" t="s">
        <v>1463</v>
      </c>
      <c r="M7" s="89" t="s">
        <v>1464</v>
      </c>
    </row>
    <row r="8" spans="1:13" ht="87.75" customHeight="1">
      <c r="A8" s="49" t="s">
        <v>218</v>
      </c>
      <c r="B8" s="65">
        <v>4608</v>
      </c>
      <c r="C8" s="26" t="s">
        <v>219</v>
      </c>
      <c r="D8" s="26" t="s">
        <v>18</v>
      </c>
      <c r="E8" s="30" t="s">
        <v>19</v>
      </c>
      <c r="F8" s="26" t="s">
        <v>220</v>
      </c>
      <c r="G8" s="26" t="s">
        <v>221</v>
      </c>
      <c r="H8" s="26" t="s">
        <v>1213</v>
      </c>
      <c r="I8" s="26"/>
      <c r="J8" s="26"/>
      <c r="K8" s="5" t="s">
        <v>3375</v>
      </c>
      <c r="L8" s="89" t="s">
        <v>1531</v>
      </c>
      <c r="M8" s="89" t="s">
        <v>1532</v>
      </c>
    </row>
    <row r="9" spans="1:13" ht="87.75" customHeight="1">
      <c r="A9" s="49" t="s">
        <v>218</v>
      </c>
      <c r="B9" s="65">
        <v>4616</v>
      </c>
      <c r="C9" s="26" t="s">
        <v>222</v>
      </c>
      <c r="D9" s="26" t="s">
        <v>18</v>
      </c>
      <c r="E9" s="30" t="s">
        <v>19</v>
      </c>
      <c r="F9" s="26" t="s">
        <v>223</v>
      </c>
      <c r="G9" s="26" t="s">
        <v>224</v>
      </c>
      <c r="H9" s="26" t="s">
        <v>1214</v>
      </c>
      <c r="I9" s="26"/>
      <c r="J9" s="26"/>
      <c r="K9" s="5" t="s">
        <v>3376</v>
      </c>
      <c r="L9" s="89" t="s">
        <v>1533</v>
      </c>
      <c r="M9" s="89" t="s">
        <v>1534</v>
      </c>
    </row>
    <row r="10" spans="1:13" ht="87.75" customHeight="1">
      <c r="A10" s="50" t="s">
        <v>235</v>
      </c>
      <c r="B10" s="65">
        <v>59</v>
      </c>
      <c r="C10" s="70" t="s">
        <v>4280</v>
      </c>
      <c r="D10" s="26" t="s">
        <v>4281</v>
      </c>
      <c r="E10" s="31" t="s">
        <v>20</v>
      </c>
      <c r="F10" s="26" t="s">
        <v>4282</v>
      </c>
      <c r="G10" s="26" t="s">
        <v>4283</v>
      </c>
      <c r="H10" s="26" t="s">
        <v>4284</v>
      </c>
      <c r="I10" s="26" t="s">
        <v>4380</v>
      </c>
      <c r="J10" s="26" t="s">
        <v>4289</v>
      </c>
      <c r="K10" s="5" t="s">
        <v>4288</v>
      </c>
      <c r="L10" s="89" t="s">
        <v>4290</v>
      </c>
      <c r="M10" s="89" t="s">
        <v>4291</v>
      </c>
    </row>
    <row r="11" spans="1:13" ht="87.75" customHeight="1">
      <c r="A11" s="50" t="s">
        <v>235</v>
      </c>
      <c r="B11" s="65">
        <v>91</v>
      </c>
      <c r="C11" s="70" t="s">
        <v>4258</v>
      </c>
      <c r="D11" s="26" t="s">
        <v>4259</v>
      </c>
      <c r="E11" s="31" t="s">
        <v>20</v>
      </c>
      <c r="F11" s="26" t="s">
        <v>4260</v>
      </c>
      <c r="G11" s="26" t="s">
        <v>4261</v>
      </c>
      <c r="H11" s="26" t="s">
        <v>4262</v>
      </c>
      <c r="I11" s="26" t="s">
        <v>4265</v>
      </c>
      <c r="J11" s="26" t="s">
        <v>4267</v>
      </c>
      <c r="K11" s="5" t="s">
        <v>4266</v>
      </c>
      <c r="L11" s="89" t="s">
        <v>4268</v>
      </c>
      <c r="M11" s="89" t="s">
        <v>4269</v>
      </c>
    </row>
    <row r="12" spans="1:13" ht="87.75" customHeight="1">
      <c r="A12" s="50" t="s">
        <v>235</v>
      </c>
      <c r="B12" s="65">
        <v>168</v>
      </c>
      <c r="C12" s="70" t="s">
        <v>4270</v>
      </c>
      <c r="D12" s="26" t="s">
        <v>4259</v>
      </c>
      <c r="E12" s="31" t="s">
        <v>19</v>
      </c>
      <c r="F12" s="26" t="s">
        <v>4271</v>
      </c>
      <c r="G12" s="26" t="s">
        <v>4272</v>
      </c>
      <c r="H12" s="26" t="s">
        <v>4273</v>
      </c>
      <c r="I12" s="26" t="s">
        <v>4381</v>
      </c>
      <c r="J12" s="26" t="s">
        <v>4276</v>
      </c>
      <c r="K12" s="5" t="s">
        <v>4266</v>
      </c>
      <c r="L12" s="89" t="s">
        <v>4277</v>
      </c>
      <c r="M12" s="89" t="s">
        <v>4278</v>
      </c>
    </row>
  </sheetData>
  <autoFilter ref="C1:C9" xr:uid="{EB15344D-0E8A-4D2E-9D24-E475E82AE46A}">
    <sortState xmlns:xlrd2="http://schemas.microsoft.com/office/spreadsheetml/2017/richdata2" ref="A2:R9">
      <sortCondition sortBy="cellColor" ref="C1:C9" dxfId="2"/>
    </sortState>
  </autoFilter>
  <hyperlinks>
    <hyperlink ref="K8" r:id="rId1" display="https://learn.microsoft.com/en-us/previous-versions/windows/it-pro/windows-10/security/threat-protection/auditing/event-4608" xr:uid="{544D9C7A-3EF6-4D2D-A827-B2B91DCA35CF}"/>
    <hyperlink ref="K9" r:id="rId2" display="https://learn.microsoft.com/en-us/previous-versions/windows/it-pro/windows-10/security/threat-protection/auditing/event-4616" xr:uid="{C859E8F9-7552-4357-B1E3-23F6804C850C}"/>
    <hyperlink ref="K7" r:id="rId3" display="https://learn.microsoft.com/en-us/previous-versions/windows/it-pro/windows-10/security/threat-protection/auditing/event-1102" xr:uid="{433B5331-417A-4E25-B3F5-1046CBB221E4}"/>
    <hyperlink ref="K2" r:id="rId4" display="https://learn.microsoft.com/en-us/previous-versions/windows/it-pro/windows-10/security/threat-protection/auditing/event-4946" xr:uid="{AF443BED-27C8-41A9-B59C-469D59DAE4AD}"/>
    <hyperlink ref="K5" r:id="rId5" display="https://learn.microsoft.com/en-us/previous-versions/windows/it-pro/windows-10/security/threat-protection/auditing/event-5156" xr:uid="{DE794C4D-6999-4B7F-9BD3-AD263F724686}"/>
    <hyperlink ref="K3" r:id="rId6" display="https://learn.microsoft.com/en-us/previous-versions/windows/it-pro/windows-10/security/threat-protection/auditing/event-4947" xr:uid="{BBF7B166-D43D-471B-B1F9-0AFE21EF7E19}"/>
    <hyperlink ref="K6" r:id="rId7" display="https://learn.microsoft.com/en-us/previous-versions/windows/it-pro/windows-10/security/threat-protection/auditing/event-5157" xr:uid="{FA9E655D-0E74-41CB-85FB-AB34423260A0}"/>
    <hyperlink ref="K4" r:id="rId8" display="https://learn.microsoft.com/en-us/previous-versions/windows/it-pro/windows-10/security/threat-protection/auditing/event-5031" xr:uid="{6C90EEE3-6B68-4942-B2D7-13D092736D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AD660-4C1A-4A09-98CD-5E7BA1FB52BF}">
  <sheetPr>
    <tabColor theme="4" tint="0.39997558519241921"/>
  </sheetPr>
  <dimension ref="A1:W9"/>
  <sheetViews>
    <sheetView zoomScaleNormal="100" workbookViewId="0"/>
  </sheetViews>
  <sheetFormatPr defaultColWidth="17.7109375" defaultRowHeight="87.75" customHeight="1"/>
  <cols>
    <col min="1" max="1" width="16.7109375" customWidth="1"/>
    <col min="2" max="2" width="10.42578125" customWidth="1"/>
    <col min="4" max="4" width="9.140625" customWidth="1"/>
    <col min="5" max="5" width="10.5703125" customWidth="1"/>
    <col min="6" max="6" width="29" customWidth="1"/>
    <col min="7" max="7" width="35.42578125" customWidth="1"/>
    <col min="8" max="8" width="42.5703125" customWidth="1"/>
    <col min="9" max="9" width="27.28515625" customWidth="1"/>
    <col min="10" max="10" width="33.42578125" customWidth="1"/>
    <col min="11" max="11" width="80.7109375" style="27" customWidth="1"/>
    <col min="12" max="12" width="66.7109375" customWidth="1"/>
    <col min="13" max="13" width="53.28515625" customWidth="1"/>
  </cols>
  <sheetData>
    <row r="1" spans="1:23" ht="87.75" customHeight="1">
      <c r="A1" s="1" t="s">
        <v>0</v>
      </c>
      <c r="B1" s="1" t="s">
        <v>1</v>
      </c>
      <c r="C1" s="1" t="s">
        <v>2</v>
      </c>
      <c r="D1" s="1" t="s">
        <v>3</v>
      </c>
      <c r="E1" s="1" t="s">
        <v>4</v>
      </c>
      <c r="F1" s="1" t="s">
        <v>6</v>
      </c>
      <c r="G1" s="1" t="s">
        <v>7</v>
      </c>
      <c r="H1" s="1" t="s">
        <v>8</v>
      </c>
      <c r="I1" s="1" t="s">
        <v>11</v>
      </c>
      <c r="J1" s="1" t="s">
        <v>12</v>
      </c>
      <c r="K1" s="4" t="s">
        <v>15</v>
      </c>
      <c r="L1" s="91" t="s">
        <v>1455</v>
      </c>
      <c r="M1" s="91" t="s">
        <v>1456</v>
      </c>
    </row>
    <row r="2" spans="1:23" ht="87.75" customHeight="1">
      <c r="A2" s="58" t="s">
        <v>605</v>
      </c>
      <c r="B2" s="66">
        <v>1149</v>
      </c>
      <c r="C2" s="70" t="s">
        <v>606</v>
      </c>
      <c r="D2" s="26" t="s">
        <v>607</v>
      </c>
      <c r="E2" s="32" t="s">
        <v>84</v>
      </c>
      <c r="F2" s="26" t="s">
        <v>650</v>
      </c>
      <c r="G2" s="26" t="s">
        <v>608</v>
      </c>
      <c r="H2" s="26" t="s">
        <v>1181</v>
      </c>
      <c r="I2" s="26" t="s">
        <v>1368</v>
      </c>
      <c r="J2" s="26" t="s">
        <v>1376</v>
      </c>
      <c r="K2" s="26" t="s">
        <v>1720</v>
      </c>
      <c r="L2" s="89" t="s">
        <v>1467</v>
      </c>
      <c r="M2" s="89" t="s">
        <v>1468</v>
      </c>
    </row>
    <row r="3" spans="1:23" s="26" customFormat="1" ht="58.5" customHeight="1">
      <c r="A3" s="58" t="s">
        <v>605</v>
      </c>
      <c r="B3" s="66">
        <v>261</v>
      </c>
      <c r="C3" s="26" t="s">
        <v>612</v>
      </c>
      <c r="D3" s="26" t="s">
        <v>607</v>
      </c>
      <c r="E3" s="31" t="s">
        <v>20</v>
      </c>
      <c r="F3" s="26" t="s">
        <v>652</v>
      </c>
      <c r="G3" s="26" t="s">
        <v>653</v>
      </c>
      <c r="H3" s="26" t="s">
        <v>1244</v>
      </c>
      <c r="I3" s="26" t="s">
        <v>1369</v>
      </c>
      <c r="J3" s="26" t="s">
        <v>1377</v>
      </c>
      <c r="K3" s="26" t="s">
        <v>1721</v>
      </c>
      <c r="L3" s="90" t="s">
        <v>1593</v>
      </c>
      <c r="M3" s="90" t="s">
        <v>1594</v>
      </c>
      <c r="N3" s="27"/>
      <c r="O3" s="27"/>
      <c r="P3" s="27"/>
      <c r="Q3" s="27"/>
      <c r="R3" s="27"/>
      <c r="S3" s="27"/>
      <c r="T3" s="27"/>
      <c r="U3" s="27"/>
      <c r="V3" s="27"/>
      <c r="W3" s="27"/>
    </row>
    <row r="4" spans="1:23" s="26" customFormat="1" ht="58.5" customHeight="1">
      <c r="A4" s="58" t="s">
        <v>605</v>
      </c>
      <c r="B4" s="66">
        <v>258</v>
      </c>
      <c r="C4" s="26" t="s">
        <v>616</v>
      </c>
      <c r="D4" s="26" t="s">
        <v>607</v>
      </c>
      <c r="E4" s="30" t="s">
        <v>19</v>
      </c>
      <c r="F4" s="26" t="s">
        <v>617</v>
      </c>
      <c r="G4" s="26" t="s">
        <v>618</v>
      </c>
      <c r="H4" s="26" t="s">
        <v>1245</v>
      </c>
      <c r="I4" s="26" t="s">
        <v>1370</v>
      </c>
      <c r="J4" s="26" t="s">
        <v>1378</v>
      </c>
      <c r="K4" s="26" t="s">
        <v>1721</v>
      </c>
      <c r="L4" s="90" t="s">
        <v>1595</v>
      </c>
      <c r="M4" s="90" t="s">
        <v>1596</v>
      </c>
      <c r="N4" s="27"/>
      <c r="O4" s="27"/>
      <c r="P4" s="27"/>
      <c r="Q4" s="27"/>
      <c r="R4" s="27"/>
      <c r="S4" s="27"/>
      <c r="T4" s="27"/>
      <c r="U4" s="27"/>
      <c r="V4" s="27"/>
      <c r="W4" s="27"/>
    </row>
    <row r="5" spans="1:23" s="26" customFormat="1" ht="58.5" customHeight="1">
      <c r="A5" s="58" t="s">
        <v>605</v>
      </c>
      <c r="B5" s="66">
        <v>263</v>
      </c>
      <c r="C5" s="26" t="s">
        <v>621</v>
      </c>
      <c r="D5" s="26" t="s">
        <v>607</v>
      </c>
      <c r="E5" s="39" t="s">
        <v>31</v>
      </c>
      <c r="F5" s="26" t="s">
        <v>622</v>
      </c>
      <c r="G5" s="26" t="s">
        <v>623</v>
      </c>
      <c r="H5" s="26" t="s">
        <v>624</v>
      </c>
      <c r="I5" s="26" t="s">
        <v>1371</v>
      </c>
      <c r="J5" s="26" t="s">
        <v>1379</v>
      </c>
      <c r="K5" s="26" t="s">
        <v>1721</v>
      </c>
      <c r="L5" s="90" t="s">
        <v>1597</v>
      </c>
      <c r="M5" s="90" t="s">
        <v>1598</v>
      </c>
      <c r="N5" s="27"/>
      <c r="O5" s="27"/>
      <c r="P5" s="27"/>
      <c r="Q5" s="27"/>
      <c r="R5" s="27"/>
      <c r="S5" s="27"/>
      <c r="T5" s="27"/>
      <c r="U5" s="27"/>
      <c r="V5" s="27"/>
      <c r="W5" s="27"/>
    </row>
    <row r="6" spans="1:23" s="26" customFormat="1" ht="58.5" customHeight="1">
      <c r="A6" s="58" t="s">
        <v>605</v>
      </c>
      <c r="B6" s="66">
        <v>1155</v>
      </c>
      <c r="C6" s="26" t="s">
        <v>627</v>
      </c>
      <c r="D6" s="26" t="s">
        <v>607</v>
      </c>
      <c r="E6" s="39" t="s">
        <v>31</v>
      </c>
      <c r="F6" s="26" t="s">
        <v>628</v>
      </c>
      <c r="G6" s="26" t="s">
        <v>629</v>
      </c>
      <c r="H6" s="26" t="s">
        <v>630</v>
      </c>
      <c r="I6" s="26" t="s">
        <v>1372</v>
      </c>
      <c r="J6" s="26" t="s">
        <v>1380</v>
      </c>
      <c r="K6" s="26" t="s">
        <v>1722</v>
      </c>
      <c r="L6" s="90" t="s">
        <v>1599</v>
      </c>
      <c r="M6" s="90" t="s">
        <v>1600</v>
      </c>
      <c r="N6" s="27"/>
      <c r="O6" s="27"/>
      <c r="P6" s="27"/>
      <c r="Q6" s="27"/>
      <c r="R6" s="27"/>
      <c r="S6" s="27"/>
      <c r="T6" s="27"/>
      <c r="U6" s="27"/>
      <c r="V6" s="27"/>
      <c r="W6" s="27"/>
    </row>
    <row r="7" spans="1:23" s="26" customFormat="1" ht="58.5" customHeight="1">
      <c r="A7" s="58" t="s">
        <v>605</v>
      </c>
      <c r="B7" s="66">
        <v>20523</v>
      </c>
      <c r="C7" s="26" t="s">
        <v>658</v>
      </c>
      <c r="D7" s="26" t="s">
        <v>607</v>
      </c>
      <c r="E7" s="39" t="s">
        <v>31</v>
      </c>
      <c r="F7" s="26" t="s">
        <v>633</v>
      </c>
      <c r="G7" s="26" t="s">
        <v>634</v>
      </c>
      <c r="H7" s="26" t="s">
        <v>630</v>
      </c>
      <c r="I7" s="26" t="s">
        <v>1373</v>
      </c>
      <c r="J7" s="26" t="s">
        <v>1381</v>
      </c>
      <c r="K7" s="26" t="s">
        <v>1722</v>
      </c>
      <c r="L7" s="90" t="s">
        <v>1601</v>
      </c>
      <c r="M7" s="90" t="s">
        <v>1602</v>
      </c>
      <c r="N7" s="27"/>
      <c r="O7" s="27"/>
      <c r="P7" s="27"/>
      <c r="Q7" s="27"/>
      <c r="R7" s="27"/>
      <c r="S7" s="27"/>
      <c r="T7" s="27"/>
      <c r="U7" s="27"/>
      <c r="V7" s="27"/>
      <c r="W7" s="27"/>
    </row>
    <row r="8" spans="1:23" ht="134.25" customHeight="1">
      <c r="A8" s="58" t="s">
        <v>605</v>
      </c>
      <c r="B8" s="66">
        <v>1143</v>
      </c>
      <c r="C8" s="26" t="s">
        <v>659</v>
      </c>
      <c r="D8" s="26" t="s">
        <v>607</v>
      </c>
      <c r="E8" s="30" t="s">
        <v>19</v>
      </c>
      <c r="F8" s="26" t="s">
        <v>637</v>
      </c>
      <c r="G8" s="26" t="s">
        <v>638</v>
      </c>
      <c r="H8" s="26" t="s">
        <v>1246</v>
      </c>
      <c r="I8" s="26" t="s">
        <v>1374</v>
      </c>
      <c r="J8" s="26" t="s">
        <v>1382</v>
      </c>
      <c r="K8" s="26" t="s">
        <v>1723</v>
      </c>
      <c r="L8" s="89" t="s">
        <v>1603</v>
      </c>
      <c r="M8" s="89" t="s">
        <v>1604</v>
      </c>
    </row>
    <row r="9" spans="1:23" ht="87.75" customHeight="1">
      <c r="A9" s="58" t="s">
        <v>605</v>
      </c>
      <c r="B9" s="66">
        <v>1136</v>
      </c>
      <c r="C9" s="26" t="s">
        <v>642</v>
      </c>
      <c r="D9" s="26" t="s">
        <v>607</v>
      </c>
      <c r="E9" s="56" t="s">
        <v>643</v>
      </c>
      <c r="F9" s="26" t="s">
        <v>644</v>
      </c>
      <c r="G9" s="26" t="s">
        <v>645</v>
      </c>
      <c r="H9" s="26" t="s">
        <v>646</v>
      </c>
      <c r="I9" s="26" t="s">
        <v>1375</v>
      </c>
      <c r="J9" s="26" t="s">
        <v>1383</v>
      </c>
      <c r="K9" s="26" t="s">
        <v>1722</v>
      </c>
      <c r="L9" s="89" t="s">
        <v>1605</v>
      </c>
      <c r="M9" s="89" t="s">
        <v>1606</v>
      </c>
    </row>
  </sheetData>
  <autoFilter ref="C1:C9" xr:uid="{EB15344D-0E8A-4D2E-9D24-E475E82AE46A}">
    <sortState xmlns:xlrd2="http://schemas.microsoft.com/office/spreadsheetml/2017/richdata2" ref="A2:R9">
      <sortCondition sortBy="cellColor" ref="C1:C9" dxfId="1"/>
    </sortState>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4535D-E544-4496-9C78-914B7FE3463F}">
  <sheetPr>
    <tabColor theme="4" tint="0.39997558519241921"/>
  </sheetPr>
  <dimension ref="A1:O31"/>
  <sheetViews>
    <sheetView workbookViewId="0"/>
  </sheetViews>
  <sheetFormatPr defaultColWidth="20.5703125" defaultRowHeight="71.25" customHeight="1"/>
  <cols>
    <col min="14" max="14" width="66.7109375" customWidth="1"/>
    <col min="15" max="15" width="53.28515625" customWidth="1"/>
  </cols>
  <sheetData>
    <row r="1" spans="1:15" ht="71.25" customHeight="1">
      <c r="A1" s="81" t="s">
        <v>0</v>
      </c>
      <c r="B1" s="81" t="s">
        <v>883</v>
      </c>
      <c r="C1" s="92" t="s">
        <v>3</v>
      </c>
      <c r="D1" s="81" t="s">
        <v>2</v>
      </c>
      <c r="E1" s="81" t="s">
        <v>6</v>
      </c>
      <c r="F1" s="81" t="s">
        <v>4</v>
      </c>
      <c r="G1" s="81" t="s">
        <v>5</v>
      </c>
      <c r="H1" s="81" t="s">
        <v>8</v>
      </c>
      <c r="I1" s="81" t="s">
        <v>11</v>
      </c>
      <c r="J1" s="81" t="s">
        <v>885</v>
      </c>
      <c r="K1" s="81" t="s">
        <v>884</v>
      </c>
      <c r="L1" s="81" t="s">
        <v>1007</v>
      </c>
      <c r="M1" s="81" t="s">
        <v>680</v>
      </c>
      <c r="N1" s="93" t="s">
        <v>1455</v>
      </c>
      <c r="O1" s="93" t="s">
        <v>1456</v>
      </c>
    </row>
    <row r="2" spans="1:15" ht="71.25" customHeight="1">
      <c r="A2" s="75" t="s">
        <v>126</v>
      </c>
      <c r="B2" s="82">
        <v>1</v>
      </c>
      <c r="C2" s="82" t="s">
        <v>887</v>
      </c>
      <c r="D2" s="80" t="s">
        <v>886</v>
      </c>
      <c r="E2" s="75" t="s">
        <v>888</v>
      </c>
      <c r="F2" s="76" t="s">
        <v>84</v>
      </c>
      <c r="G2" s="75" t="s">
        <v>20</v>
      </c>
      <c r="H2" s="75" t="s">
        <v>890</v>
      </c>
      <c r="I2" s="75" t="s">
        <v>892</v>
      </c>
      <c r="J2" s="83" t="s">
        <v>891</v>
      </c>
      <c r="K2" s="83" t="s">
        <v>889</v>
      </c>
      <c r="L2" s="75" t="s">
        <v>1008</v>
      </c>
      <c r="M2" s="84" t="s">
        <v>893</v>
      </c>
      <c r="N2" s="89" t="s">
        <v>1660</v>
      </c>
      <c r="O2" s="89" t="s">
        <v>1661</v>
      </c>
    </row>
    <row r="3" spans="1:15" ht="71.25" customHeight="1">
      <c r="A3" s="26" t="s">
        <v>894</v>
      </c>
      <c r="B3" s="85">
        <v>2</v>
      </c>
      <c r="C3" s="85" t="s">
        <v>887</v>
      </c>
      <c r="D3" s="79" t="s">
        <v>895</v>
      </c>
      <c r="E3" s="26" t="s">
        <v>896</v>
      </c>
      <c r="F3" s="77" t="s">
        <v>19</v>
      </c>
      <c r="G3" s="26" t="s">
        <v>31</v>
      </c>
      <c r="H3" s="26" t="s">
        <v>898</v>
      </c>
      <c r="I3" s="26" t="s">
        <v>899</v>
      </c>
      <c r="J3" s="86" t="s">
        <v>831</v>
      </c>
      <c r="K3" s="86" t="s">
        <v>897</v>
      </c>
      <c r="L3" s="26" t="s">
        <v>1008</v>
      </c>
      <c r="M3" s="87" t="s">
        <v>900</v>
      </c>
      <c r="N3" s="89" t="s">
        <v>1662</v>
      </c>
      <c r="O3" s="89" t="s">
        <v>1663</v>
      </c>
    </row>
    <row r="4" spans="1:15" ht="71.25" customHeight="1">
      <c r="A4" s="75" t="s">
        <v>235</v>
      </c>
      <c r="B4" s="82">
        <v>3</v>
      </c>
      <c r="C4" s="82" t="s">
        <v>887</v>
      </c>
      <c r="D4" s="80" t="s">
        <v>901</v>
      </c>
      <c r="E4" s="75" t="s">
        <v>902</v>
      </c>
      <c r="F4" s="76" t="s">
        <v>84</v>
      </c>
      <c r="G4" s="75" t="s">
        <v>131</v>
      </c>
      <c r="H4" s="75" t="s">
        <v>904</v>
      </c>
      <c r="I4" s="75" t="s">
        <v>905</v>
      </c>
      <c r="J4" s="83" t="s">
        <v>1454</v>
      </c>
      <c r="K4" s="83" t="s">
        <v>903</v>
      </c>
      <c r="L4" s="75" t="s">
        <v>1008</v>
      </c>
      <c r="M4" s="84" t="s">
        <v>906</v>
      </c>
      <c r="N4" s="89" t="s">
        <v>1664</v>
      </c>
      <c r="O4" s="89" t="s">
        <v>1665</v>
      </c>
    </row>
    <row r="5" spans="1:15" ht="71.25" customHeight="1">
      <c r="A5" s="26" t="s">
        <v>1000</v>
      </c>
      <c r="B5" s="85">
        <v>4</v>
      </c>
      <c r="C5" s="85" t="s">
        <v>887</v>
      </c>
      <c r="D5" s="79" t="s">
        <v>1009</v>
      </c>
      <c r="E5" s="26" t="s">
        <v>1010</v>
      </c>
      <c r="F5" s="77" t="s">
        <v>19</v>
      </c>
      <c r="G5" s="26" t="s">
        <v>31</v>
      </c>
      <c r="H5" s="26" t="s">
        <v>1012</v>
      </c>
      <c r="I5" s="26" t="s">
        <v>1013</v>
      </c>
      <c r="J5" s="86" t="s">
        <v>848</v>
      </c>
      <c r="K5" s="86" t="s">
        <v>1011</v>
      </c>
      <c r="L5" s="26" t="s">
        <v>1008</v>
      </c>
      <c r="M5" s="87" t="s">
        <v>1014</v>
      </c>
      <c r="N5" s="89" t="s">
        <v>1666</v>
      </c>
      <c r="O5" s="89" t="s">
        <v>1667</v>
      </c>
    </row>
    <row r="6" spans="1:15" ht="71.25" customHeight="1">
      <c r="A6" s="75" t="s">
        <v>126</v>
      </c>
      <c r="B6" s="88">
        <v>5</v>
      </c>
      <c r="C6" s="88" t="s">
        <v>887</v>
      </c>
      <c r="D6" s="80" t="s">
        <v>1015</v>
      </c>
      <c r="E6" s="75" t="s">
        <v>1016</v>
      </c>
      <c r="F6" s="77" t="s">
        <v>19</v>
      </c>
      <c r="G6" s="75" t="s">
        <v>19</v>
      </c>
      <c r="H6" s="75" t="s">
        <v>1018</v>
      </c>
      <c r="I6" s="75" t="s">
        <v>1020</v>
      </c>
      <c r="J6" s="83" t="s">
        <v>1019</v>
      </c>
      <c r="K6" s="83" t="s">
        <v>1017</v>
      </c>
      <c r="L6" s="75" t="s">
        <v>1008</v>
      </c>
      <c r="M6" s="84" t="s">
        <v>1021</v>
      </c>
      <c r="N6" s="89" t="s">
        <v>1668</v>
      </c>
      <c r="O6" s="89" t="s">
        <v>1669</v>
      </c>
    </row>
    <row r="7" spans="1:15" ht="71.25" customHeight="1">
      <c r="A7" s="26" t="s">
        <v>1022</v>
      </c>
      <c r="B7" s="85">
        <v>6</v>
      </c>
      <c r="C7" s="85" t="s">
        <v>887</v>
      </c>
      <c r="D7" s="79" t="s">
        <v>1023</v>
      </c>
      <c r="E7" s="26" t="s">
        <v>1024</v>
      </c>
      <c r="F7" s="78" t="s">
        <v>20</v>
      </c>
      <c r="G7" s="26" t="s">
        <v>31</v>
      </c>
      <c r="H7" s="26" t="s">
        <v>1026</v>
      </c>
      <c r="I7" s="26" t="s">
        <v>1027</v>
      </c>
      <c r="J7" s="86" t="s">
        <v>813</v>
      </c>
      <c r="K7" s="86" t="s">
        <v>1025</v>
      </c>
      <c r="L7" s="26" t="s">
        <v>1008</v>
      </c>
      <c r="M7" s="87" t="s">
        <v>1028</v>
      </c>
      <c r="N7" s="89" t="s">
        <v>1670</v>
      </c>
      <c r="O7" s="89" t="s">
        <v>1671</v>
      </c>
    </row>
    <row r="8" spans="1:15" ht="71.25" customHeight="1">
      <c r="A8" s="75" t="s">
        <v>907</v>
      </c>
      <c r="B8" s="82">
        <v>7</v>
      </c>
      <c r="C8" s="82" t="s">
        <v>887</v>
      </c>
      <c r="D8" s="80" t="s">
        <v>908</v>
      </c>
      <c r="E8" s="75" t="s">
        <v>1029</v>
      </c>
      <c r="F8" s="76" t="s">
        <v>84</v>
      </c>
      <c r="G8" s="75" t="s">
        <v>20</v>
      </c>
      <c r="H8" s="75" t="s">
        <v>910</v>
      </c>
      <c r="I8" s="75" t="s">
        <v>912</v>
      </c>
      <c r="J8" s="83" t="s">
        <v>911</v>
      </c>
      <c r="K8" s="83" t="s">
        <v>909</v>
      </c>
      <c r="L8" s="75" t="s">
        <v>1008</v>
      </c>
      <c r="M8" s="84" t="s">
        <v>913</v>
      </c>
      <c r="N8" s="89" t="s">
        <v>1672</v>
      </c>
      <c r="O8" s="89" t="s">
        <v>1673</v>
      </c>
    </row>
    <row r="9" spans="1:15" ht="71.25" customHeight="1">
      <c r="A9" s="26" t="s">
        <v>914</v>
      </c>
      <c r="B9" s="82">
        <v>8</v>
      </c>
      <c r="C9" s="82" t="s">
        <v>887</v>
      </c>
      <c r="D9" s="79" t="s">
        <v>915</v>
      </c>
      <c r="E9" s="26" t="s">
        <v>916</v>
      </c>
      <c r="F9" s="76" t="s">
        <v>84</v>
      </c>
      <c r="G9" s="26" t="s">
        <v>19</v>
      </c>
      <c r="H9" s="26" t="s">
        <v>918</v>
      </c>
      <c r="I9" s="26" t="s">
        <v>920</v>
      </c>
      <c r="J9" s="86" t="s">
        <v>919</v>
      </c>
      <c r="K9" s="86" t="s">
        <v>917</v>
      </c>
      <c r="L9" s="26" t="s">
        <v>1008</v>
      </c>
      <c r="M9" s="87" t="s">
        <v>921</v>
      </c>
      <c r="N9" s="89" t="s">
        <v>1674</v>
      </c>
      <c r="O9" s="89" t="s">
        <v>1675</v>
      </c>
    </row>
    <row r="10" spans="1:15" ht="71.25" customHeight="1">
      <c r="A10" s="75" t="s">
        <v>1030</v>
      </c>
      <c r="B10" s="88">
        <v>9</v>
      </c>
      <c r="C10" s="88" t="s">
        <v>887</v>
      </c>
      <c r="D10" s="80" t="s">
        <v>1031</v>
      </c>
      <c r="E10" s="75" t="s">
        <v>1032</v>
      </c>
      <c r="F10" s="78" t="s">
        <v>20</v>
      </c>
      <c r="G10" s="75" t="s">
        <v>31</v>
      </c>
      <c r="H10" s="75" t="s">
        <v>1034</v>
      </c>
      <c r="I10" s="75" t="s">
        <v>1036</v>
      </c>
      <c r="J10" s="83" t="s">
        <v>1035</v>
      </c>
      <c r="K10" s="83" t="s">
        <v>1033</v>
      </c>
      <c r="L10" s="75" t="s">
        <v>1008</v>
      </c>
      <c r="M10" s="84" t="s">
        <v>1037</v>
      </c>
      <c r="N10" s="89" t="s">
        <v>1676</v>
      </c>
      <c r="O10" s="89" t="s">
        <v>1677</v>
      </c>
    </row>
    <row r="11" spans="1:15" ht="71.25" customHeight="1">
      <c r="A11" s="26" t="s">
        <v>153</v>
      </c>
      <c r="B11" s="82">
        <v>10</v>
      </c>
      <c r="C11" s="82" t="s">
        <v>887</v>
      </c>
      <c r="D11" s="79" t="s">
        <v>922</v>
      </c>
      <c r="E11" s="26" t="s">
        <v>923</v>
      </c>
      <c r="F11" s="76" t="s">
        <v>84</v>
      </c>
      <c r="G11" s="26" t="s">
        <v>19</v>
      </c>
      <c r="H11" s="26" t="s">
        <v>925</v>
      </c>
      <c r="I11" s="26" t="s">
        <v>927</v>
      </c>
      <c r="J11" s="86" t="s">
        <v>926</v>
      </c>
      <c r="K11" s="86" t="s">
        <v>924</v>
      </c>
      <c r="L11" s="26" t="s">
        <v>1008</v>
      </c>
      <c r="M11" s="87" t="s">
        <v>928</v>
      </c>
      <c r="N11" s="89" t="s">
        <v>1678</v>
      </c>
      <c r="O11" s="89" t="s">
        <v>1679</v>
      </c>
    </row>
    <row r="12" spans="1:15" ht="71.25" customHeight="1">
      <c r="A12" s="75" t="s">
        <v>894</v>
      </c>
      <c r="B12" s="82">
        <v>11</v>
      </c>
      <c r="C12" s="82" t="s">
        <v>887</v>
      </c>
      <c r="D12" s="80" t="s">
        <v>929</v>
      </c>
      <c r="E12" s="75" t="s">
        <v>930</v>
      </c>
      <c r="F12" s="78" t="s">
        <v>20</v>
      </c>
      <c r="G12" s="75" t="s">
        <v>20</v>
      </c>
      <c r="H12" s="75" t="s">
        <v>932</v>
      </c>
      <c r="I12" s="75" t="s">
        <v>934</v>
      </c>
      <c r="J12" s="83" t="s">
        <v>933</v>
      </c>
      <c r="K12" s="83" t="s">
        <v>931</v>
      </c>
      <c r="L12" s="75" t="s">
        <v>1008</v>
      </c>
      <c r="M12" s="84" t="s">
        <v>935</v>
      </c>
      <c r="N12" s="89" t="s">
        <v>1680</v>
      </c>
      <c r="O12" s="89" t="s">
        <v>1681</v>
      </c>
    </row>
    <row r="13" spans="1:15" ht="71.25" customHeight="1">
      <c r="A13" s="26" t="s">
        <v>936</v>
      </c>
      <c r="B13" s="82">
        <v>12</v>
      </c>
      <c r="C13" s="82" t="s">
        <v>887</v>
      </c>
      <c r="D13" s="79" t="s">
        <v>937</v>
      </c>
      <c r="E13" s="26" t="s">
        <v>938</v>
      </c>
      <c r="F13" s="78" t="s">
        <v>20</v>
      </c>
      <c r="G13" s="26" t="s">
        <v>19</v>
      </c>
      <c r="H13" s="26" t="s">
        <v>940</v>
      </c>
      <c r="I13" s="26" t="s">
        <v>942</v>
      </c>
      <c r="J13" s="86" t="s">
        <v>941</v>
      </c>
      <c r="K13" s="86" t="s">
        <v>939</v>
      </c>
      <c r="L13" s="26" t="s">
        <v>1008</v>
      </c>
      <c r="M13" s="87" t="s">
        <v>943</v>
      </c>
      <c r="N13" s="89" t="s">
        <v>1682</v>
      </c>
      <c r="O13" s="89" t="s">
        <v>1683</v>
      </c>
    </row>
    <row r="14" spans="1:15" ht="71.25" customHeight="1">
      <c r="A14" s="75" t="s">
        <v>936</v>
      </c>
      <c r="B14" s="82">
        <v>13</v>
      </c>
      <c r="C14" s="82" t="s">
        <v>887</v>
      </c>
      <c r="D14" s="80" t="s">
        <v>944</v>
      </c>
      <c r="E14" s="75" t="s">
        <v>945</v>
      </c>
      <c r="F14" s="78" t="s">
        <v>20</v>
      </c>
      <c r="G14" s="75" t="s">
        <v>19</v>
      </c>
      <c r="H14" s="75" t="s">
        <v>947</v>
      </c>
      <c r="I14" s="75" t="s">
        <v>949</v>
      </c>
      <c r="J14" s="83" t="s">
        <v>948</v>
      </c>
      <c r="K14" s="83" t="s">
        <v>946</v>
      </c>
      <c r="L14" s="75" t="s">
        <v>1008</v>
      </c>
      <c r="M14" s="84" t="s">
        <v>950</v>
      </c>
      <c r="N14" s="89" t="s">
        <v>1684</v>
      </c>
      <c r="O14" s="89" t="s">
        <v>1685</v>
      </c>
    </row>
    <row r="15" spans="1:15" ht="71.25" customHeight="1">
      <c r="A15" s="26" t="s">
        <v>936</v>
      </c>
      <c r="B15" s="85">
        <v>14</v>
      </c>
      <c r="C15" s="85" t="s">
        <v>887</v>
      </c>
      <c r="D15" s="79" t="s">
        <v>951</v>
      </c>
      <c r="E15" s="26" t="s">
        <v>952</v>
      </c>
      <c r="F15" s="77" t="s">
        <v>19</v>
      </c>
      <c r="G15" s="26" t="s">
        <v>31</v>
      </c>
      <c r="H15" s="26" t="s">
        <v>954</v>
      </c>
      <c r="I15" s="26" t="s">
        <v>956</v>
      </c>
      <c r="J15" s="86" t="s">
        <v>955</v>
      </c>
      <c r="K15" s="86" t="s">
        <v>953</v>
      </c>
      <c r="L15" s="26" t="s">
        <v>1008</v>
      </c>
      <c r="M15" s="87" t="s">
        <v>957</v>
      </c>
      <c r="N15" s="89" t="s">
        <v>1686</v>
      </c>
      <c r="O15" s="89" t="s">
        <v>1687</v>
      </c>
    </row>
    <row r="16" spans="1:15" ht="71.25" customHeight="1">
      <c r="A16" s="75" t="s">
        <v>894</v>
      </c>
      <c r="B16" s="88">
        <v>15</v>
      </c>
      <c r="C16" s="88" t="s">
        <v>887</v>
      </c>
      <c r="D16" s="80" t="s">
        <v>1038</v>
      </c>
      <c r="E16" s="75" t="s">
        <v>1039</v>
      </c>
      <c r="F16" s="78" t="s">
        <v>20</v>
      </c>
      <c r="G16" s="75" t="s">
        <v>31</v>
      </c>
      <c r="H16" s="75" t="s">
        <v>1041</v>
      </c>
      <c r="I16" s="75" t="s">
        <v>1043</v>
      </c>
      <c r="J16" s="83" t="s">
        <v>1042</v>
      </c>
      <c r="K16" s="83" t="s">
        <v>1040</v>
      </c>
      <c r="L16" s="75" t="s">
        <v>1008</v>
      </c>
      <c r="M16" s="84" t="s">
        <v>1044</v>
      </c>
      <c r="N16" s="89" t="s">
        <v>1688</v>
      </c>
      <c r="O16" s="89" t="s">
        <v>1689</v>
      </c>
    </row>
    <row r="17" spans="1:15" ht="71.25" customHeight="1">
      <c r="A17" s="26" t="s">
        <v>1000</v>
      </c>
      <c r="B17" s="85">
        <v>16</v>
      </c>
      <c r="C17" s="85" t="s">
        <v>887</v>
      </c>
      <c r="D17" s="79" t="s">
        <v>1045</v>
      </c>
      <c r="E17" s="26" t="s">
        <v>1046</v>
      </c>
      <c r="F17" s="77" t="s">
        <v>19</v>
      </c>
      <c r="G17" s="26" t="s">
        <v>31</v>
      </c>
      <c r="H17" s="26" t="s">
        <v>1048</v>
      </c>
      <c r="I17" s="26" t="s">
        <v>1049</v>
      </c>
      <c r="J17" s="86" t="s">
        <v>848</v>
      </c>
      <c r="K17" s="86" t="s">
        <v>1047</v>
      </c>
      <c r="L17" s="26" t="s">
        <v>1008</v>
      </c>
      <c r="M17" s="87" t="s">
        <v>1050</v>
      </c>
      <c r="N17" s="89" t="s">
        <v>1690</v>
      </c>
      <c r="O17" s="89" t="s">
        <v>1691</v>
      </c>
    </row>
    <row r="18" spans="1:15" ht="71.25" customHeight="1">
      <c r="A18" s="75" t="s">
        <v>958</v>
      </c>
      <c r="B18" s="82">
        <v>17</v>
      </c>
      <c r="C18" s="82" t="s">
        <v>887</v>
      </c>
      <c r="D18" s="80" t="s">
        <v>959</v>
      </c>
      <c r="E18" s="75" t="s">
        <v>960</v>
      </c>
      <c r="F18" s="77" t="s">
        <v>19</v>
      </c>
      <c r="G18" s="75" t="s">
        <v>31</v>
      </c>
      <c r="H18" s="75" t="s">
        <v>962</v>
      </c>
      <c r="I18" s="75" t="s">
        <v>964</v>
      </c>
      <c r="J18" s="83" t="s">
        <v>963</v>
      </c>
      <c r="K18" s="83" t="s">
        <v>961</v>
      </c>
      <c r="L18" s="75" t="s">
        <v>1008</v>
      </c>
      <c r="M18" s="84" t="s">
        <v>965</v>
      </c>
      <c r="N18" s="89" t="s">
        <v>1692</v>
      </c>
      <c r="O18" s="89" t="s">
        <v>1693</v>
      </c>
    </row>
    <row r="19" spans="1:15" ht="71.25" customHeight="1">
      <c r="A19" s="26" t="s">
        <v>958</v>
      </c>
      <c r="B19" s="82">
        <v>18</v>
      </c>
      <c r="C19" s="82" t="s">
        <v>887</v>
      </c>
      <c r="D19" s="79" t="s">
        <v>966</v>
      </c>
      <c r="E19" s="26" t="s">
        <v>967</v>
      </c>
      <c r="F19" s="77" t="s">
        <v>19</v>
      </c>
      <c r="G19" s="26" t="s">
        <v>31</v>
      </c>
      <c r="H19" s="26" t="s">
        <v>968</v>
      </c>
      <c r="I19" s="26" t="s">
        <v>969</v>
      </c>
      <c r="J19" s="86" t="s">
        <v>963</v>
      </c>
      <c r="K19" s="86" t="s">
        <v>961</v>
      </c>
      <c r="L19" s="26" t="s">
        <v>1008</v>
      </c>
      <c r="M19" s="87" t="s">
        <v>970</v>
      </c>
      <c r="N19" s="89" t="s">
        <v>1694</v>
      </c>
      <c r="O19" s="89" t="s">
        <v>1695</v>
      </c>
    </row>
    <row r="20" spans="1:15" ht="71.25" customHeight="1">
      <c r="A20" s="75" t="s">
        <v>1051</v>
      </c>
      <c r="B20" s="82">
        <v>19</v>
      </c>
      <c r="C20" s="82" t="s">
        <v>887</v>
      </c>
      <c r="D20" s="80" t="s">
        <v>1052</v>
      </c>
      <c r="E20" s="75" t="s">
        <v>1053</v>
      </c>
      <c r="F20" s="76" t="s">
        <v>84</v>
      </c>
      <c r="G20" s="75" t="s">
        <v>31</v>
      </c>
      <c r="H20" s="75" t="s">
        <v>1055</v>
      </c>
      <c r="I20" s="75" t="s">
        <v>1057</v>
      </c>
      <c r="J20" s="83" t="s">
        <v>1056</v>
      </c>
      <c r="K20" s="83" t="s">
        <v>1054</v>
      </c>
      <c r="L20" s="75" t="s">
        <v>1008</v>
      </c>
      <c r="M20" s="84" t="s">
        <v>1058</v>
      </c>
      <c r="N20" s="89" t="s">
        <v>1696</v>
      </c>
      <c r="O20" s="89" t="s">
        <v>1697</v>
      </c>
    </row>
    <row r="21" spans="1:15" ht="71.25" customHeight="1">
      <c r="A21" s="26" t="s">
        <v>1051</v>
      </c>
      <c r="B21" s="82">
        <v>20</v>
      </c>
      <c r="C21" s="82" t="s">
        <v>887</v>
      </c>
      <c r="D21" s="79" t="s">
        <v>1059</v>
      </c>
      <c r="E21" s="26" t="s">
        <v>1060</v>
      </c>
      <c r="F21" s="76" t="s">
        <v>84</v>
      </c>
      <c r="G21" s="26" t="s">
        <v>31</v>
      </c>
      <c r="H21" s="26" t="s">
        <v>1062</v>
      </c>
      <c r="I21" s="26" t="s">
        <v>1063</v>
      </c>
      <c r="J21" s="86" t="s">
        <v>1056</v>
      </c>
      <c r="K21" s="86" t="s">
        <v>1061</v>
      </c>
      <c r="L21" s="26" t="s">
        <v>1008</v>
      </c>
      <c r="M21" s="87" t="s">
        <v>1064</v>
      </c>
      <c r="N21" s="89" t="s">
        <v>1698</v>
      </c>
      <c r="O21" s="89" t="s">
        <v>1699</v>
      </c>
    </row>
    <row r="22" spans="1:15" ht="71.25" customHeight="1">
      <c r="A22" s="75" t="s">
        <v>1051</v>
      </c>
      <c r="B22" s="82">
        <v>21</v>
      </c>
      <c r="C22" s="82" t="s">
        <v>887</v>
      </c>
      <c r="D22" s="80" t="s">
        <v>1065</v>
      </c>
      <c r="E22" s="75" t="s">
        <v>1066</v>
      </c>
      <c r="F22" s="76" t="s">
        <v>84</v>
      </c>
      <c r="G22" s="75" t="s">
        <v>31</v>
      </c>
      <c r="H22" s="75" t="s">
        <v>1068</v>
      </c>
      <c r="I22" s="75" t="s">
        <v>1069</v>
      </c>
      <c r="J22" s="83" t="s">
        <v>1056</v>
      </c>
      <c r="K22" s="83" t="s">
        <v>1067</v>
      </c>
      <c r="L22" s="75" t="s">
        <v>1008</v>
      </c>
      <c r="M22" s="84" t="s">
        <v>1070</v>
      </c>
      <c r="N22" s="89" t="s">
        <v>1700</v>
      </c>
      <c r="O22" s="89" t="s">
        <v>1701</v>
      </c>
    </row>
    <row r="23" spans="1:15" ht="71.25" customHeight="1">
      <c r="A23" s="26" t="s">
        <v>235</v>
      </c>
      <c r="B23" s="82">
        <v>22</v>
      </c>
      <c r="C23" s="82" t="s">
        <v>887</v>
      </c>
      <c r="D23" s="79" t="s">
        <v>971</v>
      </c>
      <c r="E23" s="26" t="s">
        <v>972</v>
      </c>
      <c r="F23" s="76" t="s">
        <v>84</v>
      </c>
      <c r="G23" s="26" t="s">
        <v>131</v>
      </c>
      <c r="H23" s="26" t="s">
        <v>974</v>
      </c>
      <c r="I23" s="26" t="s">
        <v>976</v>
      </c>
      <c r="J23" s="86" t="s">
        <v>975</v>
      </c>
      <c r="K23" s="86" t="s">
        <v>973</v>
      </c>
      <c r="L23" s="26" t="s">
        <v>1008</v>
      </c>
      <c r="M23" s="87" t="s">
        <v>977</v>
      </c>
      <c r="N23" s="89" t="s">
        <v>1702</v>
      </c>
      <c r="O23" s="89" t="s">
        <v>1703</v>
      </c>
    </row>
    <row r="24" spans="1:15" ht="71.25" customHeight="1">
      <c r="A24" s="75" t="s">
        <v>894</v>
      </c>
      <c r="B24" s="88">
        <v>23</v>
      </c>
      <c r="C24" s="88" t="s">
        <v>887</v>
      </c>
      <c r="D24" s="80" t="s">
        <v>1071</v>
      </c>
      <c r="E24" s="75" t="s">
        <v>1072</v>
      </c>
      <c r="F24" s="77" t="s">
        <v>19</v>
      </c>
      <c r="G24" s="75" t="s">
        <v>19</v>
      </c>
      <c r="H24" s="75" t="s">
        <v>1074</v>
      </c>
      <c r="I24" s="75" t="s">
        <v>1075</v>
      </c>
      <c r="J24" s="83" t="s">
        <v>816</v>
      </c>
      <c r="K24" s="83" t="s">
        <v>1073</v>
      </c>
      <c r="L24" s="75" t="s">
        <v>1008</v>
      </c>
      <c r="M24" s="84" t="s">
        <v>1076</v>
      </c>
      <c r="N24" s="89" t="s">
        <v>1704</v>
      </c>
      <c r="O24" s="89" t="s">
        <v>1705</v>
      </c>
    </row>
    <row r="25" spans="1:15" ht="71.25" customHeight="1">
      <c r="A25" s="26" t="s">
        <v>1000</v>
      </c>
      <c r="B25" s="85">
        <v>24</v>
      </c>
      <c r="C25" s="85" t="s">
        <v>887</v>
      </c>
      <c r="D25" s="79" t="s">
        <v>1077</v>
      </c>
      <c r="E25" s="26" t="s">
        <v>1078</v>
      </c>
      <c r="F25" s="77" t="s">
        <v>19</v>
      </c>
      <c r="G25" s="26" t="s">
        <v>31</v>
      </c>
      <c r="H25" s="26" t="s">
        <v>1080</v>
      </c>
      <c r="I25" s="26" t="s">
        <v>1082</v>
      </c>
      <c r="J25" s="86" t="s">
        <v>1081</v>
      </c>
      <c r="K25" s="86" t="s">
        <v>1079</v>
      </c>
      <c r="L25" s="26" t="s">
        <v>1008</v>
      </c>
      <c r="M25" s="87" t="s">
        <v>1083</v>
      </c>
      <c r="N25" s="89" t="s">
        <v>1706</v>
      </c>
      <c r="O25" s="89" t="s">
        <v>1707</v>
      </c>
    </row>
    <row r="26" spans="1:15" ht="71.25" customHeight="1">
      <c r="A26" s="75" t="s">
        <v>126</v>
      </c>
      <c r="B26" s="82">
        <v>25</v>
      </c>
      <c r="C26" s="82" t="s">
        <v>887</v>
      </c>
      <c r="D26" s="80" t="s">
        <v>978</v>
      </c>
      <c r="E26" s="75" t="s">
        <v>979</v>
      </c>
      <c r="F26" s="76" t="s">
        <v>84</v>
      </c>
      <c r="G26" s="75" t="s">
        <v>31</v>
      </c>
      <c r="H26" s="75" t="s">
        <v>981</v>
      </c>
      <c r="I26" s="75" t="s">
        <v>983</v>
      </c>
      <c r="J26" s="83" t="s">
        <v>982</v>
      </c>
      <c r="K26" s="83" t="s">
        <v>980</v>
      </c>
      <c r="L26" s="75" t="s">
        <v>1008</v>
      </c>
      <c r="M26" s="84" t="s">
        <v>984</v>
      </c>
      <c r="N26" s="89" t="s">
        <v>1708</v>
      </c>
      <c r="O26" s="89" t="s">
        <v>1709</v>
      </c>
    </row>
    <row r="27" spans="1:15" ht="71.25" customHeight="1">
      <c r="A27" s="26" t="s">
        <v>894</v>
      </c>
      <c r="B27" s="82">
        <v>26</v>
      </c>
      <c r="C27" s="82" t="s">
        <v>887</v>
      </c>
      <c r="D27" s="79" t="s">
        <v>1084</v>
      </c>
      <c r="E27" s="26" t="s">
        <v>1085</v>
      </c>
      <c r="F27" s="78" t="s">
        <v>20</v>
      </c>
      <c r="G27" s="26" t="s">
        <v>19</v>
      </c>
      <c r="H27" s="26" t="s">
        <v>1087</v>
      </c>
      <c r="I27" s="26" t="s">
        <v>1088</v>
      </c>
      <c r="J27" s="86" t="s">
        <v>816</v>
      </c>
      <c r="K27" s="86" t="s">
        <v>1086</v>
      </c>
      <c r="L27" s="26" t="s">
        <v>1008</v>
      </c>
      <c r="M27" s="87" t="s">
        <v>1089</v>
      </c>
      <c r="N27" s="89" t="s">
        <v>1710</v>
      </c>
      <c r="O27" s="89" t="s">
        <v>1711</v>
      </c>
    </row>
    <row r="28" spans="1:15" ht="71.25" customHeight="1">
      <c r="A28" s="75" t="s">
        <v>985</v>
      </c>
      <c r="B28" s="82">
        <v>27</v>
      </c>
      <c r="C28" s="82" t="s">
        <v>887</v>
      </c>
      <c r="D28" s="80" t="s">
        <v>1090</v>
      </c>
      <c r="E28" s="75" t="s">
        <v>986</v>
      </c>
      <c r="F28" s="76" t="s">
        <v>84</v>
      </c>
      <c r="G28" s="75" t="s">
        <v>31</v>
      </c>
      <c r="H28" s="75" t="s">
        <v>988</v>
      </c>
      <c r="I28" s="75" t="s">
        <v>990</v>
      </c>
      <c r="J28" s="83" t="s">
        <v>989</v>
      </c>
      <c r="K28" s="83" t="s">
        <v>987</v>
      </c>
      <c r="L28" s="75" t="s">
        <v>1008</v>
      </c>
      <c r="M28" s="84" t="s">
        <v>991</v>
      </c>
      <c r="N28" s="89" t="s">
        <v>1712</v>
      </c>
      <c r="O28" s="89" t="s">
        <v>1713</v>
      </c>
    </row>
    <row r="29" spans="1:15" ht="71.25" customHeight="1">
      <c r="A29" s="26" t="s">
        <v>985</v>
      </c>
      <c r="B29" s="82">
        <v>28</v>
      </c>
      <c r="C29" s="82" t="s">
        <v>887</v>
      </c>
      <c r="D29" s="79" t="s">
        <v>1091</v>
      </c>
      <c r="E29" s="26" t="s">
        <v>1092</v>
      </c>
      <c r="F29" s="76" t="s">
        <v>84</v>
      </c>
      <c r="G29" s="26" t="s">
        <v>31</v>
      </c>
      <c r="H29" s="26" t="s">
        <v>1093</v>
      </c>
      <c r="I29" s="26" t="s">
        <v>993</v>
      </c>
      <c r="J29" s="86" t="s">
        <v>845</v>
      </c>
      <c r="K29" s="86" t="s">
        <v>992</v>
      </c>
      <c r="L29" s="26" t="s">
        <v>1008</v>
      </c>
      <c r="M29" s="87" t="s">
        <v>994</v>
      </c>
      <c r="N29" s="89" t="s">
        <v>1714</v>
      </c>
      <c r="O29" s="89" t="s">
        <v>1715</v>
      </c>
    </row>
    <row r="30" spans="1:15" ht="71.25" customHeight="1">
      <c r="A30" s="75" t="s">
        <v>894</v>
      </c>
      <c r="B30" s="82">
        <v>29</v>
      </c>
      <c r="C30" s="82" t="s">
        <v>887</v>
      </c>
      <c r="D30" s="80" t="s">
        <v>1094</v>
      </c>
      <c r="E30" s="75" t="s">
        <v>995</v>
      </c>
      <c r="F30" s="76" t="s">
        <v>84</v>
      </c>
      <c r="G30" s="75" t="s">
        <v>19</v>
      </c>
      <c r="H30" s="75" t="s">
        <v>997</v>
      </c>
      <c r="I30" s="75" t="s">
        <v>998</v>
      </c>
      <c r="J30" s="83" t="s">
        <v>989</v>
      </c>
      <c r="K30" s="83" t="s">
        <v>996</v>
      </c>
      <c r="L30" s="75" t="s">
        <v>1008</v>
      </c>
      <c r="M30" s="84" t="s">
        <v>999</v>
      </c>
      <c r="N30" s="89" t="s">
        <v>1716</v>
      </c>
      <c r="O30" s="89" t="s">
        <v>1717</v>
      </c>
    </row>
    <row r="31" spans="1:15" ht="71.25" customHeight="1">
      <c r="A31" s="26" t="s">
        <v>1000</v>
      </c>
      <c r="B31" s="85">
        <v>255</v>
      </c>
      <c r="C31" s="85" t="s">
        <v>887</v>
      </c>
      <c r="D31" s="79" t="s">
        <v>1001</v>
      </c>
      <c r="E31" s="26" t="s">
        <v>1002</v>
      </c>
      <c r="F31" s="77" t="s">
        <v>19</v>
      </c>
      <c r="G31" s="26" t="s">
        <v>31</v>
      </c>
      <c r="H31" s="26" t="s">
        <v>1004</v>
      </c>
      <c r="I31" s="26" t="s">
        <v>1005</v>
      </c>
      <c r="J31" s="86" t="s">
        <v>848</v>
      </c>
      <c r="K31" s="86" t="s">
        <v>1003</v>
      </c>
      <c r="L31" s="26" t="s">
        <v>1008</v>
      </c>
      <c r="M31" s="24" t="s">
        <v>1006</v>
      </c>
      <c r="N31" s="89" t="s">
        <v>1718</v>
      </c>
      <c r="O31" s="89" t="s">
        <v>1719</v>
      </c>
    </row>
  </sheetData>
  <hyperlinks>
    <hyperlink ref="M31" r:id="rId1" xr:uid="{B9439889-02FE-4F75-A92B-2B4A763164F9}"/>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39B6D-547E-4313-9032-EF8B0FC2A1C0}">
  <sheetPr>
    <tabColor theme="4" tint="0.39997558519241921"/>
  </sheetPr>
  <dimension ref="A1:P22"/>
  <sheetViews>
    <sheetView workbookViewId="0">
      <pane ySplit="1" topLeftCell="A14" activePane="bottomLeft" state="frozen"/>
      <selection pane="bottomLeft"/>
    </sheetView>
  </sheetViews>
  <sheetFormatPr defaultRowHeight="15"/>
  <cols>
    <col min="1" max="1" width="6.7109375" customWidth="1"/>
    <col min="2" max="2" width="21.28515625" customWidth="1"/>
    <col min="3" max="3" width="12" customWidth="1"/>
    <col min="4" max="4" width="29.28515625" customWidth="1"/>
    <col min="5" max="5" width="12" customWidth="1"/>
    <col min="6" max="6" width="14.7109375" customWidth="1"/>
    <col min="7" max="7" width="40" customWidth="1"/>
    <col min="8" max="10" width="45.28515625" customWidth="1"/>
    <col min="11" max="11" width="18.7109375" customWidth="1"/>
    <col min="12" max="13" width="40" customWidth="1"/>
    <col min="14" max="14" width="29.28515625" customWidth="1"/>
    <col min="15" max="15" width="56" customWidth="1"/>
    <col min="16" max="16" width="40" customWidth="1"/>
  </cols>
  <sheetData>
    <row r="1" spans="1:16">
      <c r="A1" s="221" t="s">
        <v>1728</v>
      </c>
      <c r="B1" s="221" t="s">
        <v>0</v>
      </c>
      <c r="C1" s="221" t="s">
        <v>1</v>
      </c>
      <c r="D1" s="221" t="s">
        <v>2</v>
      </c>
      <c r="E1" s="221" t="s">
        <v>3</v>
      </c>
      <c r="F1" s="221" t="s">
        <v>4</v>
      </c>
      <c r="G1" s="221" t="s">
        <v>6</v>
      </c>
      <c r="H1" s="221" t="s">
        <v>7</v>
      </c>
      <c r="I1" s="221" t="s">
        <v>8</v>
      </c>
      <c r="J1" s="221" t="s">
        <v>3432</v>
      </c>
      <c r="K1" s="221" t="s">
        <v>9</v>
      </c>
      <c r="L1" s="221" t="s">
        <v>11</v>
      </c>
      <c r="M1" s="221" t="s">
        <v>12</v>
      </c>
      <c r="N1" s="221" t="s">
        <v>680</v>
      </c>
      <c r="O1" s="221" t="s">
        <v>1455</v>
      </c>
      <c r="P1" s="221" t="s">
        <v>1456</v>
      </c>
    </row>
    <row r="2" spans="1:16" ht="76.5">
      <c r="A2" s="222">
        <v>1</v>
      </c>
      <c r="B2" s="223" t="s">
        <v>16</v>
      </c>
      <c r="C2" s="224">
        <v>4768</v>
      </c>
      <c r="D2" s="228" t="s">
        <v>17</v>
      </c>
      <c r="E2" s="225" t="s">
        <v>18</v>
      </c>
      <c r="F2" s="226" t="s">
        <v>19</v>
      </c>
      <c r="G2" s="225" t="s">
        <v>21</v>
      </c>
      <c r="H2" s="225" t="s">
        <v>22</v>
      </c>
      <c r="I2" s="225" t="s">
        <v>1198</v>
      </c>
      <c r="J2" s="225" t="s">
        <v>3474</v>
      </c>
      <c r="K2" s="225" t="s">
        <v>820</v>
      </c>
      <c r="L2" s="225"/>
      <c r="M2" s="225" t="s">
        <v>23</v>
      </c>
      <c r="N2" s="227" t="s">
        <v>3360</v>
      </c>
      <c r="O2" s="225" t="s">
        <v>1501</v>
      </c>
      <c r="P2" s="225" t="s">
        <v>1502</v>
      </c>
    </row>
    <row r="3" spans="1:16" ht="76.5">
      <c r="A3" s="222">
        <v>2</v>
      </c>
      <c r="B3" s="223" t="s">
        <v>16</v>
      </c>
      <c r="C3" s="224">
        <v>4769</v>
      </c>
      <c r="D3" s="228" t="s">
        <v>33</v>
      </c>
      <c r="E3" s="225" t="s">
        <v>18</v>
      </c>
      <c r="F3" s="226" t="s">
        <v>20</v>
      </c>
      <c r="G3" s="225" t="s">
        <v>34</v>
      </c>
      <c r="H3" s="225" t="s">
        <v>35</v>
      </c>
      <c r="I3" s="225" t="s">
        <v>1200</v>
      </c>
      <c r="J3" s="225" t="s">
        <v>3476</v>
      </c>
      <c r="K3" s="225" t="s">
        <v>821</v>
      </c>
      <c r="L3" s="225"/>
      <c r="M3" s="225" t="s">
        <v>36</v>
      </c>
      <c r="N3" s="227" t="s">
        <v>3362</v>
      </c>
      <c r="O3" s="225" t="s">
        <v>1505</v>
      </c>
      <c r="P3" s="225" t="s">
        <v>1506</v>
      </c>
    </row>
    <row r="4" spans="1:16" ht="114.75">
      <c r="A4" s="222">
        <v>3</v>
      </c>
      <c r="B4" s="223" t="s">
        <v>16</v>
      </c>
      <c r="C4" s="224">
        <v>4771</v>
      </c>
      <c r="D4" s="228" t="s">
        <v>59</v>
      </c>
      <c r="E4" s="225" t="s">
        <v>18</v>
      </c>
      <c r="F4" s="226" t="s">
        <v>20</v>
      </c>
      <c r="G4" s="225" t="s">
        <v>734</v>
      </c>
      <c r="H4" s="225" t="s">
        <v>60</v>
      </c>
      <c r="I4" s="225" t="s">
        <v>1221</v>
      </c>
      <c r="J4" s="225" t="s">
        <v>3497</v>
      </c>
      <c r="K4" s="225" t="s">
        <v>834</v>
      </c>
      <c r="L4" s="225" t="s">
        <v>61</v>
      </c>
      <c r="M4" s="225" t="s">
        <v>62</v>
      </c>
      <c r="N4" s="227" t="s">
        <v>3383</v>
      </c>
      <c r="O4" s="225" t="s">
        <v>1547</v>
      </c>
      <c r="P4" s="225" t="s">
        <v>1548</v>
      </c>
    </row>
    <row r="5" spans="1:16" ht="63.75">
      <c r="A5" s="222">
        <v>4</v>
      </c>
      <c r="B5" s="223" t="s">
        <v>16</v>
      </c>
      <c r="C5" s="224">
        <v>4649</v>
      </c>
      <c r="D5" s="225" t="s">
        <v>3755</v>
      </c>
      <c r="E5" s="225" t="s">
        <v>18</v>
      </c>
      <c r="F5" s="226" t="s">
        <v>84</v>
      </c>
      <c r="G5" s="225" t="s">
        <v>3756</v>
      </c>
      <c r="H5" s="225" t="s">
        <v>3757</v>
      </c>
      <c r="I5" s="225" t="s">
        <v>3758</v>
      </c>
      <c r="J5" s="225" t="s">
        <v>3759</v>
      </c>
      <c r="K5" s="225" t="s">
        <v>3760</v>
      </c>
      <c r="L5" s="225" t="s">
        <v>3761</v>
      </c>
      <c r="M5" s="225" t="s">
        <v>3763</v>
      </c>
      <c r="N5" s="227" t="s">
        <v>3762</v>
      </c>
      <c r="O5" s="225" t="s">
        <v>3764</v>
      </c>
      <c r="P5" s="225" t="s">
        <v>3765</v>
      </c>
    </row>
    <row r="6" spans="1:16" ht="63.75">
      <c r="A6" s="222">
        <v>5</v>
      </c>
      <c r="B6" s="223" t="s">
        <v>153</v>
      </c>
      <c r="C6" s="224">
        <v>4662</v>
      </c>
      <c r="D6" s="228" t="s">
        <v>164</v>
      </c>
      <c r="E6" s="225" t="s">
        <v>18</v>
      </c>
      <c r="F6" s="226" t="s">
        <v>84</v>
      </c>
      <c r="G6" s="225" t="s">
        <v>165</v>
      </c>
      <c r="H6" s="225" t="s">
        <v>166</v>
      </c>
      <c r="I6" s="225" t="s">
        <v>1211</v>
      </c>
      <c r="J6" s="225" t="s">
        <v>3487</v>
      </c>
      <c r="K6" s="225" t="s">
        <v>828</v>
      </c>
      <c r="L6" s="225"/>
      <c r="M6" s="225" t="s">
        <v>167</v>
      </c>
      <c r="N6" s="227" t="s">
        <v>3373</v>
      </c>
      <c r="O6" s="225" t="s">
        <v>1527</v>
      </c>
      <c r="P6" s="225" t="s">
        <v>1528</v>
      </c>
    </row>
    <row r="7" spans="1:16" ht="89.25">
      <c r="A7" s="222">
        <v>6</v>
      </c>
      <c r="B7" s="223" t="s">
        <v>200</v>
      </c>
      <c r="C7" s="224">
        <v>5136</v>
      </c>
      <c r="D7" s="225" t="s">
        <v>210</v>
      </c>
      <c r="E7" s="225" t="s">
        <v>18</v>
      </c>
      <c r="F7" s="226" t="s">
        <v>19</v>
      </c>
      <c r="G7" s="225" t="s">
        <v>211</v>
      </c>
      <c r="H7" s="225" t="s">
        <v>3766</v>
      </c>
      <c r="I7" s="225" t="s">
        <v>1233</v>
      </c>
      <c r="J7" s="225" t="s">
        <v>3509</v>
      </c>
      <c r="K7" s="225" t="s">
        <v>828</v>
      </c>
      <c r="L7" s="225" t="s">
        <v>212</v>
      </c>
      <c r="M7" s="225" t="s">
        <v>167</v>
      </c>
      <c r="N7" s="227" t="s">
        <v>3395</v>
      </c>
      <c r="O7" s="225" t="s">
        <v>1571</v>
      </c>
      <c r="P7" s="225" t="s">
        <v>1572</v>
      </c>
    </row>
    <row r="8" spans="1:16" ht="51">
      <c r="A8" s="222">
        <v>7</v>
      </c>
      <c r="B8" s="223" t="s">
        <v>200</v>
      </c>
      <c r="C8" s="224">
        <v>5137</v>
      </c>
      <c r="D8" s="225" t="s">
        <v>213</v>
      </c>
      <c r="E8" s="225" t="s">
        <v>18</v>
      </c>
      <c r="F8" s="226" t="s">
        <v>19</v>
      </c>
      <c r="G8" s="225" t="s">
        <v>214</v>
      </c>
      <c r="H8" s="225" t="s">
        <v>215</v>
      </c>
      <c r="I8" s="225" t="s">
        <v>1234</v>
      </c>
      <c r="J8" s="225" t="s">
        <v>3510</v>
      </c>
      <c r="K8" s="225" t="s">
        <v>840</v>
      </c>
      <c r="L8" s="225" t="s">
        <v>216</v>
      </c>
      <c r="M8" s="225" t="s">
        <v>217</v>
      </c>
      <c r="N8" s="227" t="s">
        <v>3396</v>
      </c>
      <c r="O8" s="225" t="s">
        <v>1573</v>
      </c>
      <c r="P8" s="225" t="s">
        <v>1574</v>
      </c>
    </row>
    <row r="9" spans="1:16" ht="153">
      <c r="A9" s="222">
        <v>8</v>
      </c>
      <c r="B9" s="223" t="s">
        <v>200</v>
      </c>
      <c r="C9" s="224">
        <v>5138</v>
      </c>
      <c r="D9" s="225" t="s">
        <v>748</v>
      </c>
      <c r="E9" s="225" t="s">
        <v>18</v>
      </c>
      <c r="F9" s="226" t="s">
        <v>19</v>
      </c>
      <c r="G9" s="225" t="s">
        <v>749</v>
      </c>
      <c r="H9" s="225" t="s">
        <v>750</v>
      </c>
      <c r="I9" s="225" t="s">
        <v>1235</v>
      </c>
      <c r="J9" s="225" t="s">
        <v>3511</v>
      </c>
      <c r="K9" s="225" t="s">
        <v>819</v>
      </c>
      <c r="L9" s="225" t="s">
        <v>751</v>
      </c>
      <c r="M9" s="225"/>
      <c r="N9" s="227" t="s">
        <v>3397</v>
      </c>
      <c r="O9" s="225" t="s">
        <v>1575</v>
      </c>
      <c r="P9" s="225" t="s">
        <v>1576</v>
      </c>
    </row>
    <row r="10" spans="1:16" ht="216.75">
      <c r="A10" s="222">
        <v>9</v>
      </c>
      <c r="B10" s="223" t="s">
        <v>1123</v>
      </c>
      <c r="C10" s="224">
        <v>4741</v>
      </c>
      <c r="D10" s="228" t="s">
        <v>766</v>
      </c>
      <c r="E10" s="225" t="s">
        <v>18</v>
      </c>
      <c r="F10" s="226" t="s">
        <v>19</v>
      </c>
      <c r="G10" s="225" t="s">
        <v>789</v>
      </c>
      <c r="H10" s="225" t="s">
        <v>1142</v>
      </c>
      <c r="I10" s="225" t="s">
        <v>1258</v>
      </c>
      <c r="J10" s="225" t="s">
        <v>3539</v>
      </c>
      <c r="K10" s="225" t="s">
        <v>851</v>
      </c>
      <c r="L10" s="225" t="s">
        <v>882</v>
      </c>
      <c r="M10" s="225" t="s">
        <v>1283</v>
      </c>
      <c r="N10" s="227" t="s">
        <v>3418</v>
      </c>
      <c r="O10" s="225" t="s">
        <v>1631</v>
      </c>
      <c r="P10" s="225" t="s">
        <v>1632</v>
      </c>
    </row>
    <row r="11" spans="1:16" ht="89.25">
      <c r="A11" s="222">
        <v>10</v>
      </c>
      <c r="B11" s="223" t="s">
        <v>69</v>
      </c>
      <c r="C11" s="224">
        <v>4742</v>
      </c>
      <c r="D11" s="225" t="s">
        <v>3552</v>
      </c>
      <c r="E11" s="225" t="s">
        <v>18</v>
      </c>
      <c r="F11" s="226" t="s">
        <v>20</v>
      </c>
      <c r="G11" s="225" t="s">
        <v>3553</v>
      </c>
      <c r="H11" s="225" t="s">
        <v>3554</v>
      </c>
      <c r="I11" s="225" t="s">
        <v>3555</v>
      </c>
      <c r="J11" s="225" t="s">
        <v>3556</v>
      </c>
      <c r="K11" s="225" t="s">
        <v>3557</v>
      </c>
      <c r="L11" s="225" t="s">
        <v>3558</v>
      </c>
      <c r="M11" s="225" t="s">
        <v>3560</v>
      </c>
      <c r="N11" s="227" t="s">
        <v>3559</v>
      </c>
      <c r="O11" s="225" t="s">
        <v>3561</v>
      </c>
      <c r="P11" s="225" t="s">
        <v>3562</v>
      </c>
    </row>
    <row r="12" spans="1:16" ht="191.25">
      <c r="A12" s="222">
        <v>11</v>
      </c>
      <c r="B12" s="223" t="s">
        <v>1123</v>
      </c>
      <c r="C12" s="224">
        <v>4743</v>
      </c>
      <c r="D12" s="225" t="s">
        <v>767</v>
      </c>
      <c r="E12" s="225" t="s">
        <v>18</v>
      </c>
      <c r="F12" s="226" t="s">
        <v>19</v>
      </c>
      <c r="G12" s="225" t="s">
        <v>1101</v>
      </c>
      <c r="H12" s="225" t="s">
        <v>1143</v>
      </c>
      <c r="I12" s="225" t="s">
        <v>1259</v>
      </c>
      <c r="J12" s="225" t="s">
        <v>3540</v>
      </c>
      <c r="K12" s="225" t="s">
        <v>819</v>
      </c>
      <c r="L12" s="225" t="s">
        <v>870</v>
      </c>
      <c r="M12" s="225" t="s">
        <v>1102</v>
      </c>
      <c r="N12" s="227" t="s">
        <v>3419</v>
      </c>
      <c r="O12" s="225" t="s">
        <v>1633</v>
      </c>
      <c r="P12" s="225" t="s">
        <v>1634</v>
      </c>
    </row>
    <row r="13" spans="1:16" ht="38.25">
      <c r="A13" s="222">
        <v>12</v>
      </c>
      <c r="B13" s="223" t="s">
        <v>3710</v>
      </c>
      <c r="C13" s="224">
        <v>4706</v>
      </c>
      <c r="D13" s="225" t="s">
        <v>3733</v>
      </c>
      <c r="E13" s="225" t="s">
        <v>18</v>
      </c>
      <c r="F13" s="226" t="s">
        <v>84</v>
      </c>
      <c r="G13" s="225" t="s">
        <v>3734</v>
      </c>
      <c r="H13" s="225" t="s">
        <v>3735</v>
      </c>
      <c r="I13" s="225" t="s">
        <v>3736</v>
      </c>
      <c r="J13" s="225" t="s">
        <v>3737</v>
      </c>
      <c r="K13" s="225" t="s">
        <v>3738</v>
      </c>
      <c r="L13" s="225" t="s">
        <v>3739</v>
      </c>
      <c r="M13" s="225" t="s">
        <v>3741</v>
      </c>
      <c r="N13" s="227" t="s">
        <v>3740</v>
      </c>
      <c r="O13" s="225" t="s">
        <v>3742</v>
      </c>
      <c r="P13" s="225" t="s">
        <v>3743</v>
      </c>
    </row>
    <row r="14" spans="1:16" ht="51">
      <c r="A14" s="222">
        <v>13</v>
      </c>
      <c r="B14" s="223" t="s">
        <v>3710</v>
      </c>
      <c r="C14" s="224">
        <v>4707</v>
      </c>
      <c r="D14" s="225" t="s">
        <v>3744</v>
      </c>
      <c r="E14" s="225" t="s">
        <v>18</v>
      </c>
      <c r="F14" s="226" t="s">
        <v>20</v>
      </c>
      <c r="G14" s="225" t="s">
        <v>3745</v>
      </c>
      <c r="H14" s="225" t="s">
        <v>3746</v>
      </c>
      <c r="I14" s="225" t="s">
        <v>3747</v>
      </c>
      <c r="J14" s="225" t="s">
        <v>3748</v>
      </c>
      <c r="K14" s="225" t="s">
        <v>3749</v>
      </c>
      <c r="L14" s="225" t="s">
        <v>3750</v>
      </c>
      <c r="M14" s="225" t="s">
        <v>3752</v>
      </c>
      <c r="N14" s="227" t="s">
        <v>3751</v>
      </c>
      <c r="O14" s="225" t="s">
        <v>3753</v>
      </c>
      <c r="P14" s="225" t="s">
        <v>3754</v>
      </c>
    </row>
    <row r="15" spans="1:16" ht="51">
      <c r="A15" s="222">
        <v>14</v>
      </c>
      <c r="B15" s="223" t="s">
        <v>92</v>
      </c>
      <c r="C15" s="224">
        <v>4764</v>
      </c>
      <c r="D15" s="225" t="s">
        <v>3700</v>
      </c>
      <c r="E15" s="225" t="s">
        <v>18</v>
      </c>
      <c r="F15" s="226" t="s">
        <v>19</v>
      </c>
      <c r="G15" s="225" t="s">
        <v>3701</v>
      </c>
      <c r="H15" s="225" t="s">
        <v>3702</v>
      </c>
      <c r="I15" s="225" t="s">
        <v>3703</v>
      </c>
      <c r="J15" s="225" t="s">
        <v>3704</v>
      </c>
      <c r="K15" s="225" t="s">
        <v>2023</v>
      </c>
      <c r="L15" s="225" t="s">
        <v>3705</v>
      </c>
      <c r="M15" s="225" t="s">
        <v>3707</v>
      </c>
      <c r="N15" s="227" t="s">
        <v>3706</v>
      </c>
      <c r="O15" s="225" t="s">
        <v>3708</v>
      </c>
      <c r="P15" s="225" t="s">
        <v>3709</v>
      </c>
    </row>
    <row r="16" spans="1:16" ht="51">
      <c r="A16" s="222">
        <v>15</v>
      </c>
      <c r="B16" s="223" t="s">
        <v>3710</v>
      </c>
      <c r="C16" s="224">
        <v>4739</v>
      </c>
      <c r="D16" s="225" t="s">
        <v>3711</v>
      </c>
      <c r="E16" s="225" t="s">
        <v>18</v>
      </c>
      <c r="F16" s="226" t="s">
        <v>20</v>
      </c>
      <c r="G16" s="225" t="s">
        <v>3712</v>
      </c>
      <c r="H16" s="225" t="s">
        <v>3713</v>
      </c>
      <c r="I16" s="225" t="s">
        <v>3714</v>
      </c>
      <c r="J16" s="225" t="s">
        <v>3715</v>
      </c>
      <c r="K16" s="225" t="s">
        <v>3716</v>
      </c>
      <c r="L16" s="225" t="s">
        <v>3717</v>
      </c>
      <c r="M16" s="225" t="s">
        <v>3719</v>
      </c>
      <c r="N16" s="227" t="s">
        <v>3718</v>
      </c>
      <c r="O16" s="225" t="s">
        <v>3720</v>
      </c>
      <c r="P16" s="225" t="s">
        <v>3721</v>
      </c>
    </row>
    <row r="17" spans="1:16" ht="63.75">
      <c r="A17" s="222">
        <v>16</v>
      </c>
      <c r="B17" s="223" t="s">
        <v>3710</v>
      </c>
      <c r="C17" s="224">
        <v>4713</v>
      </c>
      <c r="D17" s="225" t="s">
        <v>3722</v>
      </c>
      <c r="E17" s="225" t="s">
        <v>18</v>
      </c>
      <c r="F17" s="226" t="s">
        <v>20</v>
      </c>
      <c r="G17" s="225" t="s">
        <v>3723</v>
      </c>
      <c r="H17" s="225" t="s">
        <v>3724</v>
      </c>
      <c r="I17" s="225" t="s">
        <v>3725</v>
      </c>
      <c r="J17" s="225" t="s">
        <v>3726</v>
      </c>
      <c r="K17" s="225" t="s">
        <v>3727</v>
      </c>
      <c r="L17" s="225" t="s">
        <v>3728</v>
      </c>
      <c r="M17" s="225" t="s">
        <v>3730</v>
      </c>
      <c r="N17" s="227" t="s">
        <v>3729</v>
      </c>
      <c r="O17" s="225" t="s">
        <v>3731</v>
      </c>
      <c r="P17" s="225" t="s">
        <v>3732</v>
      </c>
    </row>
    <row r="18" spans="1:16" ht="63.75">
      <c r="A18" s="222">
        <v>17</v>
      </c>
      <c r="B18" s="223" t="s">
        <v>3688</v>
      </c>
      <c r="C18" s="224">
        <v>4781</v>
      </c>
      <c r="D18" s="225" t="s">
        <v>3689</v>
      </c>
      <c r="E18" s="225" t="s">
        <v>18</v>
      </c>
      <c r="F18" s="226" t="s">
        <v>20</v>
      </c>
      <c r="G18" s="225" t="s">
        <v>3690</v>
      </c>
      <c r="H18" s="225" t="s">
        <v>3691</v>
      </c>
      <c r="I18" s="225" t="s">
        <v>3692</v>
      </c>
      <c r="J18" s="225" t="s">
        <v>3693</v>
      </c>
      <c r="K18" s="225" t="s">
        <v>3694</v>
      </c>
      <c r="L18" s="225" t="s">
        <v>3695</v>
      </c>
      <c r="M18" s="225" t="s">
        <v>3697</v>
      </c>
      <c r="N18" s="227" t="s">
        <v>3696</v>
      </c>
      <c r="O18" s="225" t="s">
        <v>3698</v>
      </c>
      <c r="P18" s="225" t="s">
        <v>3699</v>
      </c>
    </row>
    <row r="19" spans="1:16" ht="204">
      <c r="A19" s="222">
        <v>18</v>
      </c>
      <c r="B19" s="223" t="s">
        <v>1116</v>
      </c>
      <c r="C19" s="224">
        <v>4794</v>
      </c>
      <c r="D19" s="225" t="s">
        <v>768</v>
      </c>
      <c r="E19" s="225" t="s">
        <v>18</v>
      </c>
      <c r="F19" s="226" t="s">
        <v>19</v>
      </c>
      <c r="G19" s="225" t="s">
        <v>790</v>
      </c>
      <c r="H19" s="225" t="s">
        <v>791</v>
      </c>
      <c r="I19" s="225" t="s">
        <v>1260</v>
      </c>
      <c r="J19" s="225" t="s">
        <v>3541</v>
      </c>
      <c r="K19" s="225" t="s">
        <v>822</v>
      </c>
      <c r="L19" s="225" t="s">
        <v>871</v>
      </c>
      <c r="M19" s="225" t="s">
        <v>1284</v>
      </c>
      <c r="N19" s="227" t="s">
        <v>3420</v>
      </c>
      <c r="O19" s="225" t="s">
        <v>1635</v>
      </c>
      <c r="P19" s="225" t="s">
        <v>1636</v>
      </c>
    </row>
    <row r="20" spans="1:16" ht="140.25">
      <c r="A20" s="222">
        <v>19</v>
      </c>
      <c r="B20" s="223" t="s">
        <v>1117</v>
      </c>
      <c r="C20" s="224">
        <v>4897</v>
      </c>
      <c r="D20" s="225" t="s">
        <v>760</v>
      </c>
      <c r="E20" s="225" t="s">
        <v>18</v>
      </c>
      <c r="F20" s="226" t="s">
        <v>20</v>
      </c>
      <c r="G20" s="225" t="s">
        <v>783</v>
      </c>
      <c r="H20" s="225" t="s">
        <v>1135</v>
      </c>
      <c r="I20" s="225" t="s">
        <v>1252</v>
      </c>
      <c r="J20" s="225" t="s">
        <v>3532</v>
      </c>
      <c r="K20" s="225" t="s">
        <v>854</v>
      </c>
      <c r="L20" s="225" t="s">
        <v>863</v>
      </c>
      <c r="M20" s="225" t="s">
        <v>1276</v>
      </c>
      <c r="N20" s="227" t="s">
        <v>3411</v>
      </c>
      <c r="O20" s="225" t="s">
        <v>1617</v>
      </c>
      <c r="P20" s="225" t="s">
        <v>1618</v>
      </c>
    </row>
    <row r="21" spans="1:16" ht="76.5">
      <c r="A21" s="222">
        <v>20</v>
      </c>
      <c r="B21" s="223" t="s">
        <v>200</v>
      </c>
      <c r="C21" s="224">
        <v>4798</v>
      </c>
      <c r="D21" s="228" t="s">
        <v>201</v>
      </c>
      <c r="E21" s="225" t="s">
        <v>18</v>
      </c>
      <c r="F21" s="226" t="s">
        <v>19</v>
      </c>
      <c r="G21" s="225" t="s">
        <v>202</v>
      </c>
      <c r="H21" s="225" t="s">
        <v>203</v>
      </c>
      <c r="I21" s="225" t="s">
        <v>1231</v>
      </c>
      <c r="J21" s="225" t="s">
        <v>3507</v>
      </c>
      <c r="K21" s="225" t="s">
        <v>838</v>
      </c>
      <c r="L21" s="225" t="s">
        <v>204</v>
      </c>
      <c r="M21" s="225" t="s">
        <v>205</v>
      </c>
      <c r="N21" s="227" t="s">
        <v>3393</v>
      </c>
      <c r="O21" s="225" t="s">
        <v>1567</v>
      </c>
      <c r="P21" s="225" t="s">
        <v>1568</v>
      </c>
    </row>
    <row r="22" spans="1:16" ht="76.5">
      <c r="A22" s="222">
        <v>21</v>
      </c>
      <c r="B22" s="223" t="s">
        <v>200</v>
      </c>
      <c r="C22" s="224">
        <v>4799</v>
      </c>
      <c r="D22" s="228" t="s">
        <v>206</v>
      </c>
      <c r="E22" s="225" t="s">
        <v>18</v>
      </c>
      <c r="F22" s="226" t="s">
        <v>19</v>
      </c>
      <c r="G22" s="225" t="s">
        <v>207</v>
      </c>
      <c r="H22" s="225" t="s">
        <v>3767</v>
      </c>
      <c r="I22" s="225" t="s">
        <v>1232</v>
      </c>
      <c r="J22" s="225" t="s">
        <v>3508</v>
      </c>
      <c r="K22" s="225" t="s">
        <v>839</v>
      </c>
      <c r="L22" s="225" t="s">
        <v>208</v>
      </c>
      <c r="M22" s="225" t="s">
        <v>209</v>
      </c>
      <c r="N22" s="227" t="s">
        <v>3394</v>
      </c>
      <c r="O22" s="225" t="s">
        <v>1569</v>
      </c>
      <c r="P22" s="225" t="s">
        <v>1570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28750-B3B6-4B09-AB7E-87E1EAA42C1B}">
  <sheetPr>
    <tabColor theme="4" tint="0.39997558519241921"/>
  </sheetPr>
  <dimension ref="A1:P16"/>
  <sheetViews>
    <sheetView workbookViewId="0">
      <pane ySplit="1" topLeftCell="A2" activePane="bottomLeft" state="frozen"/>
      <selection pane="bottomLeft"/>
    </sheetView>
  </sheetViews>
  <sheetFormatPr defaultRowHeight="15"/>
  <cols>
    <col min="1" max="1" width="5.7109375" customWidth="1"/>
    <col min="2" max="2" width="17.140625" customWidth="1"/>
    <col min="3" max="3" width="14.28515625" customWidth="1"/>
    <col min="4" max="4" width="32.42578125" customWidth="1"/>
    <col min="5" max="5" width="30.42578125" customWidth="1"/>
    <col min="6" max="6" width="17.140625" customWidth="1"/>
    <col min="7" max="8" width="43.85546875" customWidth="1"/>
    <col min="9" max="9" width="45.7109375" customWidth="1"/>
    <col min="10" max="10" width="43.85546875" customWidth="1"/>
    <col min="11" max="11" width="21" customWidth="1"/>
    <col min="12" max="12" width="38.140625" customWidth="1"/>
    <col min="13" max="13" width="28.5703125" customWidth="1"/>
    <col min="14" max="14" width="30.42578125" customWidth="1"/>
    <col min="15" max="15" width="57.140625" customWidth="1"/>
    <col min="16" max="16" width="30.42578125" customWidth="1"/>
  </cols>
  <sheetData>
    <row r="1" spans="1:16" ht="27.95" customHeight="1">
      <c r="A1" s="229" t="s">
        <v>1728</v>
      </c>
      <c r="B1" s="229" t="s">
        <v>0</v>
      </c>
      <c r="C1" s="229" t="s">
        <v>1</v>
      </c>
      <c r="D1" s="229" t="s">
        <v>2</v>
      </c>
      <c r="E1" s="229" t="s">
        <v>3</v>
      </c>
      <c r="F1" s="229" t="s">
        <v>4</v>
      </c>
      <c r="G1" s="229" t="s">
        <v>6</v>
      </c>
      <c r="H1" s="229" t="s">
        <v>7</v>
      </c>
      <c r="I1" s="229" t="s">
        <v>8</v>
      </c>
      <c r="J1" s="229" t="s">
        <v>3432</v>
      </c>
      <c r="K1" s="229" t="s">
        <v>9</v>
      </c>
      <c r="L1" s="229" t="s">
        <v>11</v>
      </c>
      <c r="M1" s="229" t="s">
        <v>12</v>
      </c>
      <c r="N1" s="229" t="s">
        <v>680</v>
      </c>
      <c r="O1" s="229" t="s">
        <v>1455</v>
      </c>
      <c r="P1" s="229" t="s">
        <v>1456</v>
      </c>
    </row>
    <row r="2" spans="1:16" ht="110.1" customHeight="1">
      <c r="A2" s="230">
        <v>1</v>
      </c>
      <c r="B2" s="231" t="s">
        <v>3770</v>
      </c>
      <c r="C2" s="232">
        <v>1116</v>
      </c>
      <c r="D2" s="233" t="s">
        <v>3771</v>
      </c>
      <c r="E2" s="234" t="s">
        <v>3607</v>
      </c>
      <c r="F2" s="235" t="s">
        <v>20</v>
      </c>
      <c r="G2" s="234" t="s">
        <v>3772</v>
      </c>
      <c r="H2" s="234" t="s">
        <v>3773</v>
      </c>
      <c r="I2" s="234" t="s">
        <v>3774</v>
      </c>
      <c r="J2" s="234" t="s">
        <v>3775</v>
      </c>
      <c r="K2" s="234" t="s">
        <v>3776</v>
      </c>
      <c r="L2" s="234" t="s">
        <v>3777</v>
      </c>
      <c r="M2" s="234" t="s">
        <v>3778</v>
      </c>
      <c r="N2" s="123" t="s">
        <v>3779</v>
      </c>
      <c r="O2" s="234" t="s">
        <v>3780</v>
      </c>
      <c r="P2" s="234" t="s">
        <v>3781</v>
      </c>
    </row>
    <row r="3" spans="1:16" ht="110.1" customHeight="1">
      <c r="A3" s="230">
        <v>2</v>
      </c>
      <c r="B3" s="231" t="s">
        <v>3770</v>
      </c>
      <c r="C3" s="232">
        <v>1117</v>
      </c>
      <c r="D3" s="233" t="s">
        <v>3782</v>
      </c>
      <c r="E3" s="234" t="s">
        <v>3607</v>
      </c>
      <c r="F3" s="235" t="s">
        <v>20</v>
      </c>
      <c r="G3" s="234" t="s">
        <v>3783</v>
      </c>
      <c r="H3" s="234" t="s">
        <v>3784</v>
      </c>
      <c r="I3" s="234" t="s">
        <v>3785</v>
      </c>
      <c r="J3" s="234" t="s">
        <v>3786</v>
      </c>
      <c r="K3" s="234" t="s">
        <v>3787</v>
      </c>
      <c r="L3" s="234" t="s">
        <v>3788</v>
      </c>
      <c r="M3" s="234" t="s">
        <v>3789</v>
      </c>
      <c r="N3" s="123" t="s">
        <v>3779</v>
      </c>
      <c r="O3" s="234" t="s">
        <v>3790</v>
      </c>
      <c r="P3" s="234" t="s">
        <v>3791</v>
      </c>
    </row>
    <row r="4" spans="1:16" ht="110.1" customHeight="1">
      <c r="A4" s="230">
        <v>3</v>
      </c>
      <c r="B4" s="231" t="s">
        <v>3770</v>
      </c>
      <c r="C4" s="232">
        <v>1118</v>
      </c>
      <c r="D4" s="233" t="s">
        <v>3792</v>
      </c>
      <c r="E4" s="234" t="s">
        <v>3607</v>
      </c>
      <c r="F4" s="235" t="s">
        <v>19</v>
      </c>
      <c r="G4" s="234" t="s">
        <v>3793</v>
      </c>
      <c r="H4" s="234" t="s">
        <v>3794</v>
      </c>
      <c r="I4" s="234" t="s">
        <v>3795</v>
      </c>
      <c r="J4" s="234" t="s">
        <v>3796</v>
      </c>
      <c r="K4" s="234" t="s">
        <v>845</v>
      </c>
      <c r="L4" s="234" t="s">
        <v>3797</v>
      </c>
      <c r="M4" s="234" t="s">
        <v>3798</v>
      </c>
      <c r="N4" s="123" t="s">
        <v>3779</v>
      </c>
      <c r="O4" s="234" t="s">
        <v>3799</v>
      </c>
      <c r="P4" s="234" t="s">
        <v>3800</v>
      </c>
    </row>
    <row r="5" spans="1:16" ht="110.1" customHeight="1">
      <c r="A5" s="230">
        <v>4</v>
      </c>
      <c r="B5" s="231" t="s">
        <v>3770</v>
      </c>
      <c r="C5" s="232">
        <v>1119</v>
      </c>
      <c r="D5" s="233" t="s">
        <v>3801</v>
      </c>
      <c r="E5" s="234" t="s">
        <v>3607</v>
      </c>
      <c r="F5" s="236" t="s">
        <v>84</v>
      </c>
      <c r="G5" s="234" t="s">
        <v>3802</v>
      </c>
      <c r="H5" s="234" t="s">
        <v>3803</v>
      </c>
      <c r="I5" s="234" t="s">
        <v>3804</v>
      </c>
      <c r="J5" s="234" t="s">
        <v>3805</v>
      </c>
      <c r="K5" s="234" t="s">
        <v>3806</v>
      </c>
      <c r="L5" s="234" t="s">
        <v>3807</v>
      </c>
      <c r="M5" s="234" t="s">
        <v>3808</v>
      </c>
      <c r="N5" s="123" t="s">
        <v>3779</v>
      </c>
      <c r="O5" s="234" t="s">
        <v>3809</v>
      </c>
      <c r="P5" s="234" t="s">
        <v>3810</v>
      </c>
    </row>
    <row r="6" spans="1:16" ht="110.1" customHeight="1">
      <c r="A6" s="230">
        <v>5</v>
      </c>
      <c r="B6" s="231" t="s">
        <v>3811</v>
      </c>
      <c r="C6" s="232">
        <v>5001</v>
      </c>
      <c r="D6" s="233" t="s">
        <v>3812</v>
      </c>
      <c r="E6" s="234" t="s">
        <v>3607</v>
      </c>
      <c r="F6" s="236" t="s">
        <v>84</v>
      </c>
      <c r="G6" s="234" t="s">
        <v>3813</v>
      </c>
      <c r="H6" s="234" t="s">
        <v>3814</v>
      </c>
      <c r="I6" s="234" t="s">
        <v>3815</v>
      </c>
      <c r="J6" s="234" t="s">
        <v>3816</v>
      </c>
      <c r="K6" s="234" t="s">
        <v>848</v>
      </c>
      <c r="L6" s="234" t="s">
        <v>3817</v>
      </c>
      <c r="M6" s="234" t="s">
        <v>3818</v>
      </c>
      <c r="N6" s="123" t="s">
        <v>3779</v>
      </c>
      <c r="O6" s="234" t="s">
        <v>3819</v>
      </c>
      <c r="P6" s="234" t="s">
        <v>3820</v>
      </c>
    </row>
    <row r="7" spans="1:16" ht="110.1" customHeight="1">
      <c r="A7" s="230">
        <v>6</v>
      </c>
      <c r="B7" s="231" t="s">
        <v>3811</v>
      </c>
      <c r="C7" s="232">
        <v>5007</v>
      </c>
      <c r="D7" s="233" t="s">
        <v>3821</v>
      </c>
      <c r="E7" s="234" t="s">
        <v>3607</v>
      </c>
      <c r="F7" s="235" t="s">
        <v>20</v>
      </c>
      <c r="G7" s="234" t="s">
        <v>3822</v>
      </c>
      <c r="H7" s="234" t="s">
        <v>3823</v>
      </c>
      <c r="I7" s="234" t="s">
        <v>3824</v>
      </c>
      <c r="J7" s="234" t="s">
        <v>3825</v>
      </c>
      <c r="K7" s="234" t="s">
        <v>3826</v>
      </c>
      <c r="L7" s="234" t="s">
        <v>3827</v>
      </c>
      <c r="M7" s="234" t="s">
        <v>3828</v>
      </c>
      <c r="N7" s="123" t="s">
        <v>3779</v>
      </c>
      <c r="O7" s="234" t="s">
        <v>3829</v>
      </c>
      <c r="P7" s="234" t="s">
        <v>3830</v>
      </c>
    </row>
    <row r="8" spans="1:16" ht="110.1" customHeight="1">
      <c r="A8" s="230">
        <v>7</v>
      </c>
      <c r="B8" s="231" t="s">
        <v>3811</v>
      </c>
      <c r="C8" s="232">
        <v>5010</v>
      </c>
      <c r="D8" s="233" t="s">
        <v>3831</v>
      </c>
      <c r="E8" s="234" t="s">
        <v>3607</v>
      </c>
      <c r="F8" s="235" t="s">
        <v>20</v>
      </c>
      <c r="G8" s="234" t="s">
        <v>3832</v>
      </c>
      <c r="H8" s="234" t="s">
        <v>3833</v>
      </c>
      <c r="I8" s="234" t="s">
        <v>3834</v>
      </c>
      <c r="J8" s="234" t="s">
        <v>3835</v>
      </c>
      <c r="K8" s="234" t="s">
        <v>848</v>
      </c>
      <c r="L8" s="234" t="s">
        <v>3836</v>
      </c>
      <c r="M8" s="234" t="s">
        <v>3837</v>
      </c>
      <c r="N8" s="123" t="s">
        <v>3779</v>
      </c>
      <c r="O8" s="234" t="s">
        <v>3838</v>
      </c>
      <c r="P8" s="234" t="s">
        <v>3839</v>
      </c>
    </row>
    <row r="9" spans="1:16" ht="110.1" customHeight="1">
      <c r="A9" s="230">
        <v>8</v>
      </c>
      <c r="B9" s="231" t="s">
        <v>3811</v>
      </c>
      <c r="C9" s="232">
        <v>1006</v>
      </c>
      <c r="D9" s="233" t="s">
        <v>3840</v>
      </c>
      <c r="E9" s="234" t="s">
        <v>3607</v>
      </c>
      <c r="F9" s="235" t="s">
        <v>20</v>
      </c>
      <c r="G9" s="234" t="s">
        <v>3841</v>
      </c>
      <c r="H9" s="234" t="s">
        <v>3842</v>
      </c>
      <c r="I9" s="234" t="s">
        <v>3843</v>
      </c>
      <c r="J9" s="234" t="s">
        <v>3844</v>
      </c>
      <c r="K9" s="234" t="s">
        <v>3845</v>
      </c>
      <c r="L9" s="234" t="s">
        <v>3846</v>
      </c>
      <c r="M9" s="234" t="s">
        <v>3847</v>
      </c>
      <c r="N9" s="123" t="s">
        <v>3779</v>
      </c>
      <c r="O9" s="234" t="s">
        <v>3848</v>
      </c>
      <c r="P9" s="234" t="s">
        <v>3849</v>
      </c>
    </row>
    <row r="10" spans="1:16" ht="110.1" customHeight="1">
      <c r="A10" s="230">
        <v>9</v>
      </c>
      <c r="B10" s="231" t="s">
        <v>3811</v>
      </c>
      <c r="C10" s="232">
        <v>5012</v>
      </c>
      <c r="D10" s="233" t="s">
        <v>3850</v>
      </c>
      <c r="E10" s="234" t="s">
        <v>3607</v>
      </c>
      <c r="F10" s="235" t="s">
        <v>20</v>
      </c>
      <c r="G10" s="234" t="s">
        <v>3851</v>
      </c>
      <c r="H10" s="234" t="s">
        <v>3852</v>
      </c>
      <c r="I10" s="234" t="s">
        <v>3853</v>
      </c>
      <c r="J10" s="234" t="s">
        <v>3854</v>
      </c>
      <c r="K10" s="234" t="s">
        <v>848</v>
      </c>
      <c r="L10" s="234" t="s">
        <v>3855</v>
      </c>
      <c r="M10" s="234" t="s">
        <v>3818</v>
      </c>
      <c r="N10" s="123" t="s">
        <v>3779</v>
      </c>
      <c r="O10" s="234" t="s">
        <v>3856</v>
      </c>
      <c r="P10" s="234" t="s">
        <v>3857</v>
      </c>
    </row>
    <row r="11" spans="1:16" ht="110.1" customHeight="1">
      <c r="A11" s="230">
        <v>10</v>
      </c>
      <c r="B11" s="231" t="s">
        <v>3770</v>
      </c>
      <c r="C11" s="232">
        <v>1015</v>
      </c>
      <c r="D11" s="233" t="s">
        <v>3858</v>
      </c>
      <c r="E11" s="234" t="s">
        <v>3607</v>
      </c>
      <c r="F11" s="235" t="s">
        <v>20</v>
      </c>
      <c r="G11" s="234" t="s">
        <v>3859</v>
      </c>
      <c r="H11" s="234" t="s">
        <v>3860</v>
      </c>
      <c r="I11" s="234" t="s">
        <v>3861</v>
      </c>
      <c r="J11" s="234" t="s">
        <v>3862</v>
      </c>
      <c r="K11" s="234" t="s">
        <v>3863</v>
      </c>
      <c r="L11" s="234" t="s">
        <v>3864</v>
      </c>
      <c r="M11" s="234" t="s">
        <v>3865</v>
      </c>
      <c r="N11" s="123" t="s">
        <v>3779</v>
      </c>
      <c r="O11" s="234" t="s">
        <v>3866</v>
      </c>
      <c r="P11" s="234" t="s">
        <v>3867</v>
      </c>
    </row>
    <row r="12" spans="1:16" ht="110.1" customHeight="1">
      <c r="A12" s="230">
        <v>11</v>
      </c>
      <c r="B12" s="231" t="s">
        <v>3868</v>
      </c>
      <c r="C12" s="232">
        <v>1009</v>
      </c>
      <c r="D12" s="233" t="s">
        <v>3869</v>
      </c>
      <c r="E12" s="234" t="s">
        <v>3607</v>
      </c>
      <c r="F12" s="235" t="s">
        <v>20</v>
      </c>
      <c r="G12" s="234" t="s">
        <v>3870</v>
      </c>
      <c r="H12" s="234" t="s">
        <v>3871</v>
      </c>
      <c r="I12" s="234" t="s">
        <v>3872</v>
      </c>
      <c r="J12" s="234" t="s">
        <v>3873</v>
      </c>
      <c r="K12" s="234" t="s">
        <v>3874</v>
      </c>
      <c r="L12" s="234" t="s">
        <v>3875</v>
      </c>
      <c r="M12" s="234" t="s">
        <v>3876</v>
      </c>
      <c r="N12" s="123" t="s">
        <v>3779</v>
      </c>
      <c r="O12" s="234" t="s">
        <v>3877</v>
      </c>
      <c r="P12" s="234" t="s">
        <v>3878</v>
      </c>
    </row>
    <row r="13" spans="1:16" ht="110.1" customHeight="1">
      <c r="A13" s="230">
        <v>12</v>
      </c>
      <c r="B13" s="231" t="s">
        <v>3879</v>
      </c>
      <c r="C13" s="232">
        <v>2051</v>
      </c>
      <c r="D13" s="233" t="s">
        <v>3880</v>
      </c>
      <c r="E13" s="234" t="s">
        <v>3607</v>
      </c>
      <c r="F13" s="235" t="s">
        <v>19</v>
      </c>
      <c r="G13" s="234" t="s">
        <v>3881</v>
      </c>
      <c r="H13" s="234" t="s">
        <v>3882</v>
      </c>
      <c r="I13" s="234" t="s">
        <v>3883</v>
      </c>
      <c r="J13" s="234" t="s">
        <v>3884</v>
      </c>
      <c r="K13" s="234" t="s">
        <v>848</v>
      </c>
      <c r="L13" s="234" t="s">
        <v>3885</v>
      </c>
      <c r="M13" s="234" t="s">
        <v>3886</v>
      </c>
      <c r="N13" s="123" t="s">
        <v>3779</v>
      </c>
      <c r="O13" s="234" t="s">
        <v>3887</v>
      </c>
      <c r="P13" s="234" t="s">
        <v>3888</v>
      </c>
    </row>
    <row r="14" spans="1:16" ht="110.1" customHeight="1">
      <c r="A14" s="230">
        <v>13</v>
      </c>
      <c r="B14" s="231" t="s">
        <v>3811</v>
      </c>
      <c r="C14" s="232">
        <v>5004</v>
      </c>
      <c r="D14" s="233" t="s">
        <v>3889</v>
      </c>
      <c r="E14" s="234" t="s">
        <v>3607</v>
      </c>
      <c r="F14" s="235" t="s">
        <v>20</v>
      </c>
      <c r="G14" s="234" t="s">
        <v>3890</v>
      </c>
      <c r="H14" s="234" t="s">
        <v>3891</v>
      </c>
      <c r="I14" s="234" t="s">
        <v>3892</v>
      </c>
      <c r="J14" s="234" t="s">
        <v>3893</v>
      </c>
      <c r="K14" s="234" t="s">
        <v>3894</v>
      </c>
      <c r="L14" s="234" t="s">
        <v>3895</v>
      </c>
      <c r="M14" s="234" t="s">
        <v>3818</v>
      </c>
      <c r="N14" s="123" t="s">
        <v>3779</v>
      </c>
      <c r="O14" s="234" t="s">
        <v>3896</v>
      </c>
      <c r="P14" s="234" t="s">
        <v>3897</v>
      </c>
    </row>
    <row r="15" spans="1:16" ht="110.1" customHeight="1">
      <c r="A15" s="230">
        <v>14</v>
      </c>
      <c r="B15" s="231" t="s">
        <v>3879</v>
      </c>
      <c r="C15" s="232">
        <v>5008</v>
      </c>
      <c r="D15" s="233" t="s">
        <v>3898</v>
      </c>
      <c r="E15" s="234" t="s">
        <v>3607</v>
      </c>
      <c r="F15" s="235" t="s">
        <v>20</v>
      </c>
      <c r="G15" s="234" t="s">
        <v>3899</v>
      </c>
      <c r="H15" s="234" t="s">
        <v>3900</v>
      </c>
      <c r="I15" s="234" t="s">
        <v>3901</v>
      </c>
      <c r="J15" s="234" t="s">
        <v>3902</v>
      </c>
      <c r="K15" s="234" t="s">
        <v>848</v>
      </c>
      <c r="L15" s="234" t="s">
        <v>3903</v>
      </c>
      <c r="M15" s="234" t="s">
        <v>3904</v>
      </c>
      <c r="N15" s="123" t="s">
        <v>3779</v>
      </c>
      <c r="O15" s="234" t="s">
        <v>3905</v>
      </c>
      <c r="P15" s="234" t="s">
        <v>3906</v>
      </c>
    </row>
    <row r="16" spans="1:16" ht="110.1" customHeight="1">
      <c r="A16" s="230">
        <v>15</v>
      </c>
      <c r="B16" s="231" t="s">
        <v>3907</v>
      </c>
      <c r="C16" s="232">
        <v>1013</v>
      </c>
      <c r="D16" s="233" t="s">
        <v>3908</v>
      </c>
      <c r="E16" s="234" t="s">
        <v>3607</v>
      </c>
      <c r="F16" s="235" t="s">
        <v>20</v>
      </c>
      <c r="G16" s="234" t="s">
        <v>3909</v>
      </c>
      <c r="H16" s="234" t="s">
        <v>3910</v>
      </c>
      <c r="I16" s="234" t="s">
        <v>3911</v>
      </c>
      <c r="J16" s="234" t="s">
        <v>3912</v>
      </c>
      <c r="K16" s="234" t="s">
        <v>3913</v>
      </c>
      <c r="L16" s="234" t="s">
        <v>3914</v>
      </c>
      <c r="M16" s="234" t="s">
        <v>3915</v>
      </c>
      <c r="N16" s="123" t="s">
        <v>3779</v>
      </c>
      <c r="O16" s="234" t="s">
        <v>3916</v>
      </c>
      <c r="P16" s="234" t="s">
        <v>3917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5344D-0E8A-4D2E-9D24-E475E82AE46A}">
  <sheetPr>
    <tabColor theme="4" tint="0.39997558519241921"/>
  </sheetPr>
  <dimension ref="A1:AA145"/>
  <sheetViews>
    <sheetView zoomScale="130" zoomScaleNormal="130" workbookViewId="0"/>
  </sheetViews>
  <sheetFormatPr defaultColWidth="17.7109375" defaultRowHeight="87.75" customHeight="1"/>
  <cols>
    <col min="1" max="1" width="16.7109375" customWidth="1"/>
    <col min="2" max="2" width="10.42578125" customWidth="1"/>
    <col min="4" max="4" width="9.140625" customWidth="1"/>
    <col min="5" max="6" width="10.5703125" customWidth="1"/>
    <col min="7" max="7" width="29" customWidth="1"/>
    <col min="8" max="8" width="35.42578125" customWidth="1"/>
    <col min="9" max="9" width="42.5703125" customWidth="1"/>
    <col min="10" max="10" width="43.85546875" customWidth="1"/>
    <col min="12" max="12" width="27.28515625" customWidth="1"/>
    <col min="13" max="13" width="80.7109375" style="27" customWidth="1"/>
    <col min="14" max="14" width="33.42578125" customWidth="1"/>
    <col min="17" max="17" width="66.7109375" customWidth="1"/>
    <col min="18" max="18" width="53.28515625" customWidth="1"/>
  </cols>
  <sheetData>
    <row r="1" spans="1:18" ht="87.75" customHeight="1">
      <c r="A1" s="1" t="s">
        <v>0</v>
      </c>
      <c r="B1" s="1" t="s">
        <v>1</v>
      </c>
      <c r="C1" s="1" t="s">
        <v>2</v>
      </c>
      <c r="D1" s="1" t="s">
        <v>3</v>
      </c>
      <c r="E1" s="1" t="s">
        <v>4</v>
      </c>
      <c r="F1" s="1" t="s">
        <v>5</v>
      </c>
      <c r="G1" s="1" t="s">
        <v>6</v>
      </c>
      <c r="H1" s="1" t="s">
        <v>7</v>
      </c>
      <c r="I1" s="1" t="s">
        <v>8</v>
      </c>
      <c r="J1" s="211" t="s">
        <v>3432</v>
      </c>
      <c r="K1" s="1" t="s">
        <v>9</v>
      </c>
      <c r="L1" s="1" t="s">
        <v>11</v>
      </c>
      <c r="M1" s="4" t="s">
        <v>15</v>
      </c>
      <c r="N1" s="1" t="s">
        <v>12</v>
      </c>
      <c r="O1" s="1" t="s">
        <v>13</v>
      </c>
      <c r="P1" s="1" t="s">
        <v>14</v>
      </c>
      <c r="Q1" s="277" t="s">
        <v>1455</v>
      </c>
      <c r="R1" s="277" t="s">
        <v>1456</v>
      </c>
    </row>
    <row r="2" spans="1:18" ht="87.75" customHeight="1">
      <c r="A2" s="48" t="s">
        <v>16</v>
      </c>
      <c r="B2" s="65">
        <v>4624</v>
      </c>
      <c r="C2" s="70" t="s">
        <v>24</v>
      </c>
      <c r="D2" s="26" t="s">
        <v>18</v>
      </c>
      <c r="E2" s="31" t="s">
        <v>20</v>
      </c>
      <c r="F2" s="31" t="s">
        <v>20</v>
      </c>
      <c r="G2" s="26" t="s">
        <v>25</v>
      </c>
      <c r="H2" s="26" t="s">
        <v>26</v>
      </c>
      <c r="I2" s="208" t="s">
        <v>1176</v>
      </c>
      <c r="J2" s="206" t="s">
        <v>3453</v>
      </c>
      <c r="K2" s="213" t="s">
        <v>801</v>
      </c>
      <c r="L2" s="26"/>
      <c r="M2" s="5" t="s">
        <v>3341</v>
      </c>
      <c r="N2" s="26"/>
      <c r="O2" s="26"/>
      <c r="P2" s="26"/>
      <c r="Q2" s="259" t="s">
        <v>1457</v>
      </c>
      <c r="R2" s="259" t="s">
        <v>1458</v>
      </c>
    </row>
    <row r="3" spans="1:18" ht="87.75" customHeight="1">
      <c r="A3" s="48" t="s">
        <v>16</v>
      </c>
      <c r="B3" s="65">
        <v>4625</v>
      </c>
      <c r="C3" s="70" t="s">
        <v>27</v>
      </c>
      <c r="D3" s="26" t="s">
        <v>18</v>
      </c>
      <c r="E3" s="31" t="s">
        <v>20</v>
      </c>
      <c r="F3" s="31" t="s">
        <v>20</v>
      </c>
      <c r="G3" s="26" t="s">
        <v>28</v>
      </c>
      <c r="H3" s="26" t="s">
        <v>29</v>
      </c>
      <c r="I3" s="208" t="s">
        <v>1177</v>
      </c>
      <c r="J3" s="206" t="s">
        <v>3454</v>
      </c>
      <c r="K3" s="213" t="s">
        <v>802</v>
      </c>
      <c r="L3" s="26"/>
      <c r="M3" s="5" t="s">
        <v>3342</v>
      </c>
      <c r="N3" s="26"/>
      <c r="O3" s="26"/>
      <c r="P3" s="26"/>
      <c r="Q3" s="259" t="s">
        <v>1459</v>
      </c>
      <c r="R3" s="259" t="s">
        <v>1460</v>
      </c>
    </row>
    <row r="4" spans="1:18" ht="87.75" customHeight="1">
      <c r="A4" s="37" t="s">
        <v>126</v>
      </c>
      <c r="B4" s="65">
        <v>4688</v>
      </c>
      <c r="C4" s="70" t="s">
        <v>130</v>
      </c>
      <c r="D4" s="26" t="s">
        <v>18</v>
      </c>
      <c r="E4" s="31" t="s">
        <v>20</v>
      </c>
      <c r="F4" s="55" t="s">
        <v>131</v>
      </c>
      <c r="G4" s="26" t="s">
        <v>132</v>
      </c>
      <c r="H4" s="26" t="s">
        <v>133</v>
      </c>
      <c r="I4" s="208" t="s">
        <v>1178</v>
      </c>
      <c r="J4" s="206" t="s">
        <v>3455</v>
      </c>
      <c r="K4" s="213" t="s">
        <v>803</v>
      </c>
      <c r="L4" s="26"/>
      <c r="M4" s="5" t="s">
        <v>3343</v>
      </c>
      <c r="N4" s="26" t="s">
        <v>134</v>
      </c>
      <c r="O4" s="26"/>
      <c r="P4" s="26"/>
      <c r="Q4" s="259" t="s">
        <v>1461</v>
      </c>
      <c r="R4" s="259" t="s">
        <v>1462</v>
      </c>
    </row>
    <row r="5" spans="1:18" ht="87.75" customHeight="1">
      <c r="A5" s="49" t="s">
        <v>218</v>
      </c>
      <c r="B5" s="65">
        <v>1102</v>
      </c>
      <c r="C5" s="70" t="s">
        <v>225</v>
      </c>
      <c r="D5" s="26" t="s">
        <v>18</v>
      </c>
      <c r="E5" s="32" t="s">
        <v>84</v>
      </c>
      <c r="F5" s="56" t="s">
        <v>89</v>
      </c>
      <c r="G5" s="26" t="s">
        <v>226</v>
      </c>
      <c r="H5" s="26" t="s">
        <v>227</v>
      </c>
      <c r="I5" s="208" t="s">
        <v>1179</v>
      </c>
      <c r="J5" s="206" t="s">
        <v>3456</v>
      </c>
      <c r="K5" s="213" t="s">
        <v>804</v>
      </c>
      <c r="L5" s="26"/>
      <c r="M5" s="5" t="s">
        <v>3344</v>
      </c>
      <c r="N5" s="26"/>
      <c r="O5" s="26"/>
      <c r="P5" s="26" t="s">
        <v>1154</v>
      </c>
      <c r="Q5" s="259" t="s">
        <v>1463</v>
      </c>
      <c r="R5" s="259" t="s">
        <v>1464</v>
      </c>
    </row>
    <row r="6" spans="1:18" ht="87.75" customHeight="1">
      <c r="A6" s="45" t="s">
        <v>196</v>
      </c>
      <c r="B6" s="65">
        <v>4104</v>
      </c>
      <c r="C6" s="70" t="s">
        <v>722</v>
      </c>
      <c r="D6" s="26" t="s">
        <v>197</v>
      </c>
      <c r="E6" s="31" t="s">
        <v>20</v>
      </c>
      <c r="F6" s="31" t="s">
        <v>20</v>
      </c>
      <c r="G6" s="26" t="s">
        <v>724</v>
      </c>
      <c r="H6" s="26" t="s">
        <v>729</v>
      </c>
      <c r="I6" s="208" t="s">
        <v>1180</v>
      </c>
      <c r="J6" s="206" t="s">
        <v>3457</v>
      </c>
      <c r="K6" s="213" t="s">
        <v>805</v>
      </c>
      <c r="L6" s="26"/>
      <c r="M6" s="5" t="s">
        <v>723</v>
      </c>
      <c r="N6" s="26"/>
      <c r="O6" s="26"/>
      <c r="P6" s="26"/>
      <c r="Q6" s="259" t="s">
        <v>1465</v>
      </c>
      <c r="R6" s="259" t="s">
        <v>1466</v>
      </c>
    </row>
    <row r="7" spans="1:18" ht="87.75" customHeight="1">
      <c r="A7" s="58" t="s">
        <v>605</v>
      </c>
      <c r="B7" s="66">
        <v>1149</v>
      </c>
      <c r="C7" s="70" t="s">
        <v>606</v>
      </c>
      <c r="D7" s="26" t="s">
        <v>607</v>
      </c>
      <c r="E7" s="32" t="s">
        <v>84</v>
      </c>
      <c r="F7" s="30" t="s">
        <v>19</v>
      </c>
      <c r="G7" s="26" t="s">
        <v>650</v>
      </c>
      <c r="H7" s="26" t="s">
        <v>608</v>
      </c>
      <c r="I7" s="208" t="s">
        <v>1181</v>
      </c>
      <c r="J7" s="206" t="s">
        <v>3458</v>
      </c>
      <c r="K7" s="214" t="s">
        <v>806</v>
      </c>
      <c r="L7" s="26" t="s">
        <v>609</v>
      </c>
      <c r="M7" s="26" t="s">
        <v>1720</v>
      </c>
      <c r="N7" s="26" t="s">
        <v>610</v>
      </c>
      <c r="O7" s="26" t="s">
        <v>611</v>
      </c>
      <c r="P7" s="26" t="s">
        <v>651</v>
      </c>
      <c r="Q7" s="259" t="s">
        <v>1467</v>
      </c>
      <c r="R7" s="259" t="s">
        <v>1468</v>
      </c>
    </row>
    <row r="8" spans="1:18" ht="87.75" customHeight="1">
      <c r="A8" s="38" t="s">
        <v>139</v>
      </c>
      <c r="B8" s="65">
        <v>4698</v>
      </c>
      <c r="C8" s="70" t="s">
        <v>140</v>
      </c>
      <c r="D8" s="26" t="s">
        <v>18</v>
      </c>
      <c r="E8" s="31" t="s">
        <v>20</v>
      </c>
      <c r="F8" s="39" t="s">
        <v>31</v>
      </c>
      <c r="G8" s="26" t="s">
        <v>141</v>
      </c>
      <c r="H8" s="26" t="s">
        <v>142</v>
      </c>
      <c r="I8" s="208" t="s">
        <v>1182</v>
      </c>
      <c r="J8" s="206" t="s">
        <v>3459</v>
      </c>
      <c r="K8" s="213" t="s">
        <v>807</v>
      </c>
      <c r="L8" s="26"/>
      <c r="M8" s="5" t="s">
        <v>3345</v>
      </c>
      <c r="N8" s="26" t="s">
        <v>143</v>
      </c>
      <c r="O8" s="26"/>
      <c r="P8" s="26"/>
      <c r="Q8" s="259" t="s">
        <v>1469</v>
      </c>
      <c r="R8" s="259" t="s">
        <v>1470</v>
      </c>
    </row>
    <row r="9" spans="1:18" ht="87.75" customHeight="1">
      <c r="A9" s="42" t="s">
        <v>180</v>
      </c>
      <c r="B9" s="65">
        <v>5140</v>
      </c>
      <c r="C9" s="70" t="s">
        <v>191</v>
      </c>
      <c r="D9" s="26" t="s">
        <v>18</v>
      </c>
      <c r="E9" s="31" t="s">
        <v>19</v>
      </c>
      <c r="F9" s="31" t="s">
        <v>20</v>
      </c>
      <c r="G9" s="26" t="s">
        <v>192</v>
      </c>
      <c r="H9" s="26" t="s">
        <v>193</v>
      </c>
      <c r="I9" s="208" t="s">
        <v>1183</v>
      </c>
      <c r="J9" s="206" t="s">
        <v>3460</v>
      </c>
      <c r="K9" s="213" t="s">
        <v>808</v>
      </c>
      <c r="L9" s="26" t="s">
        <v>194</v>
      </c>
      <c r="M9" s="5" t="s">
        <v>3346</v>
      </c>
      <c r="N9" s="26" t="s">
        <v>195</v>
      </c>
      <c r="O9" s="26"/>
      <c r="P9" s="26"/>
      <c r="Q9" s="259" t="s">
        <v>1471</v>
      </c>
      <c r="R9" s="259" t="s">
        <v>1472</v>
      </c>
    </row>
    <row r="10" spans="1:18" ht="87.75" customHeight="1">
      <c r="A10" s="40" t="s">
        <v>153</v>
      </c>
      <c r="B10" s="65">
        <v>4657</v>
      </c>
      <c r="C10" s="70" t="s">
        <v>158</v>
      </c>
      <c r="D10" s="26" t="s">
        <v>18</v>
      </c>
      <c r="E10" s="31" t="s">
        <v>20</v>
      </c>
      <c r="F10" s="31" t="s">
        <v>20</v>
      </c>
      <c r="G10" s="26" t="s">
        <v>159</v>
      </c>
      <c r="H10" s="26" t="s">
        <v>160</v>
      </c>
      <c r="I10" s="208" t="s">
        <v>1184</v>
      </c>
      <c r="J10" s="206" t="s">
        <v>3461</v>
      </c>
      <c r="K10" s="213" t="s">
        <v>809</v>
      </c>
      <c r="L10" s="26"/>
      <c r="M10" s="5" t="s">
        <v>3347</v>
      </c>
      <c r="N10" s="26"/>
      <c r="O10" s="26"/>
      <c r="P10" s="26"/>
      <c r="Q10" s="259" t="s">
        <v>1473</v>
      </c>
      <c r="R10" s="259" t="s">
        <v>1474</v>
      </c>
    </row>
    <row r="11" spans="1:18" ht="87.75" customHeight="1">
      <c r="A11" s="50" t="s">
        <v>228</v>
      </c>
      <c r="B11" s="65">
        <v>4946</v>
      </c>
      <c r="C11" s="70" t="s">
        <v>229</v>
      </c>
      <c r="D11" s="26" t="s">
        <v>18</v>
      </c>
      <c r="E11" s="31" t="s">
        <v>20</v>
      </c>
      <c r="F11" s="39" t="s">
        <v>31</v>
      </c>
      <c r="G11" s="26" t="s">
        <v>230</v>
      </c>
      <c r="H11" s="26" t="s">
        <v>231</v>
      </c>
      <c r="I11" s="208" t="s">
        <v>1185</v>
      </c>
      <c r="J11" s="206" t="s">
        <v>3462</v>
      </c>
      <c r="K11" s="213" t="s">
        <v>810</v>
      </c>
      <c r="L11" s="26"/>
      <c r="M11" s="5" t="s">
        <v>3348</v>
      </c>
      <c r="N11" s="26"/>
      <c r="O11" s="26"/>
      <c r="P11" s="26"/>
      <c r="Q11" s="259" t="s">
        <v>1475</v>
      </c>
      <c r="R11" s="259" t="s">
        <v>1476</v>
      </c>
    </row>
    <row r="12" spans="1:18" ht="87.75" customHeight="1">
      <c r="A12" s="52" t="s">
        <v>16</v>
      </c>
      <c r="B12" s="65">
        <v>4782</v>
      </c>
      <c r="C12" s="70" t="s">
        <v>577</v>
      </c>
      <c r="D12" s="26" t="s">
        <v>18</v>
      </c>
      <c r="E12" s="32" t="s">
        <v>84</v>
      </c>
      <c r="F12" s="39" t="s">
        <v>31</v>
      </c>
      <c r="G12" s="26" t="s">
        <v>578</v>
      </c>
      <c r="H12" s="26" t="s">
        <v>579</v>
      </c>
      <c r="I12" s="208" t="s">
        <v>1186</v>
      </c>
      <c r="J12" s="206" t="s">
        <v>3463</v>
      </c>
      <c r="K12" s="214" t="s">
        <v>1110</v>
      </c>
      <c r="L12" s="26" t="s">
        <v>580</v>
      </c>
      <c r="M12" s="25" t="s">
        <v>3349</v>
      </c>
      <c r="N12" s="26" t="s">
        <v>581</v>
      </c>
      <c r="O12" s="26"/>
      <c r="P12" s="26"/>
      <c r="Q12" s="259" t="s">
        <v>1477</v>
      </c>
      <c r="R12" s="259" t="s">
        <v>1478</v>
      </c>
    </row>
    <row r="13" spans="1:18" ht="87.75" customHeight="1">
      <c r="A13" s="48" t="s">
        <v>16</v>
      </c>
      <c r="B13" s="65">
        <v>4776</v>
      </c>
      <c r="C13" s="29" t="s">
        <v>37</v>
      </c>
      <c r="D13" s="26" t="s">
        <v>18</v>
      </c>
      <c r="E13" s="31" t="s">
        <v>20</v>
      </c>
      <c r="F13" s="30" t="s">
        <v>19</v>
      </c>
      <c r="G13" s="26" t="s">
        <v>38</v>
      </c>
      <c r="H13" s="26" t="s">
        <v>39</v>
      </c>
      <c r="I13" s="208" t="s">
        <v>1187</v>
      </c>
      <c r="J13" s="206" t="s">
        <v>3464</v>
      </c>
      <c r="K13" s="213" t="s">
        <v>811</v>
      </c>
      <c r="L13" s="26"/>
      <c r="M13" s="5" t="s">
        <v>3350</v>
      </c>
      <c r="N13" s="26" t="s">
        <v>40</v>
      </c>
      <c r="O13" s="26"/>
      <c r="P13" s="26"/>
      <c r="Q13" s="259" t="s">
        <v>1479</v>
      </c>
      <c r="R13" s="259" t="s">
        <v>1480</v>
      </c>
    </row>
    <row r="14" spans="1:18" ht="87.75" customHeight="1">
      <c r="A14" s="28" t="s">
        <v>69</v>
      </c>
      <c r="B14" s="65">
        <v>4720</v>
      </c>
      <c r="C14" s="29" t="s">
        <v>83</v>
      </c>
      <c r="D14" s="26" t="s">
        <v>18</v>
      </c>
      <c r="E14" s="32" t="s">
        <v>20</v>
      </c>
      <c r="F14" s="39" t="s">
        <v>31</v>
      </c>
      <c r="G14" s="26" t="s">
        <v>85</v>
      </c>
      <c r="H14" s="26" t="s">
        <v>86</v>
      </c>
      <c r="I14" s="208" t="s">
        <v>1188</v>
      </c>
      <c r="J14" s="206" t="s">
        <v>3465</v>
      </c>
      <c r="K14" s="213" t="s">
        <v>812</v>
      </c>
      <c r="L14" s="26"/>
      <c r="M14" s="5" t="s">
        <v>3351</v>
      </c>
      <c r="N14" s="26" t="s">
        <v>87</v>
      </c>
      <c r="O14" s="26"/>
      <c r="P14" s="26" t="s">
        <v>1155</v>
      </c>
      <c r="Q14" s="259" t="s">
        <v>1481</v>
      </c>
      <c r="R14" s="259" t="s">
        <v>1482</v>
      </c>
    </row>
    <row r="15" spans="1:18" ht="87.75" customHeight="1">
      <c r="A15" s="37" t="s">
        <v>126</v>
      </c>
      <c r="B15" s="65">
        <v>4697</v>
      </c>
      <c r="C15" s="29" t="s">
        <v>135</v>
      </c>
      <c r="D15" s="26" t="s">
        <v>18</v>
      </c>
      <c r="E15" s="31" t="s">
        <v>20</v>
      </c>
      <c r="F15" s="39" t="s">
        <v>31</v>
      </c>
      <c r="G15" s="26" t="s">
        <v>136</v>
      </c>
      <c r="H15" s="26" t="s">
        <v>137</v>
      </c>
      <c r="I15" s="208" t="s">
        <v>1189</v>
      </c>
      <c r="J15" s="206" t="s">
        <v>3466</v>
      </c>
      <c r="K15" s="213" t="s">
        <v>813</v>
      </c>
      <c r="L15" s="26"/>
      <c r="M15" s="5" t="s">
        <v>3352</v>
      </c>
      <c r="N15" s="26" t="s">
        <v>138</v>
      </c>
      <c r="O15" s="26"/>
      <c r="P15" s="26"/>
      <c r="Q15" s="259" t="s">
        <v>1483</v>
      </c>
      <c r="R15" s="259" t="s">
        <v>1484</v>
      </c>
    </row>
    <row r="16" spans="1:18" ht="87.75" customHeight="1">
      <c r="A16" s="34" t="s">
        <v>103</v>
      </c>
      <c r="B16" s="65">
        <v>4672</v>
      </c>
      <c r="C16" s="29" t="s">
        <v>104</v>
      </c>
      <c r="D16" s="26" t="s">
        <v>18</v>
      </c>
      <c r="E16" s="31" t="s">
        <v>20</v>
      </c>
      <c r="F16" s="30" t="s">
        <v>19</v>
      </c>
      <c r="G16" s="26" t="s">
        <v>105</v>
      </c>
      <c r="H16" s="26" t="s">
        <v>106</v>
      </c>
      <c r="I16" s="208" t="s">
        <v>1190</v>
      </c>
      <c r="J16" s="206" t="s">
        <v>3467</v>
      </c>
      <c r="K16" s="213" t="s">
        <v>814</v>
      </c>
      <c r="L16" s="26"/>
      <c r="M16" s="5" t="s">
        <v>3353</v>
      </c>
      <c r="N16" s="26"/>
      <c r="O16" s="26"/>
      <c r="P16" s="26" t="s">
        <v>107</v>
      </c>
      <c r="Q16" s="259" t="s">
        <v>1485</v>
      </c>
      <c r="R16" s="259" t="s">
        <v>1486</v>
      </c>
    </row>
    <row r="17" spans="1:18" ht="87.75" customHeight="1">
      <c r="A17" s="51" t="s">
        <v>235</v>
      </c>
      <c r="B17" s="65">
        <v>5156</v>
      </c>
      <c r="C17" s="29" t="s">
        <v>236</v>
      </c>
      <c r="D17" s="26" t="s">
        <v>18</v>
      </c>
      <c r="E17" s="30" t="s">
        <v>19</v>
      </c>
      <c r="F17" s="31" t="s">
        <v>20</v>
      </c>
      <c r="G17" s="26" t="s">
        <v>237</v>
      </c>
      <c r="H17" s="26" t="s">
        <v>727</v>
      </c>
      <c r="I17" s="208" t="s">
        <v>1191</v>
      </c>
      <c r="J17" s="206" t="s">
        <v>3468</v>
      </c>
      <c r="K17" s="213" t="s">
        <v>1111</v>
      </c>
      <c r="L17" s="26"/>
      <c r="M17" s="5" t="s">
        <v>3354</v>
      </c>
      <c r="N17" s="26" t="s">
        <v>238</v>
      </c>
      <c r="O17" s="26"/>
      <c r="P17" s="26"/>
      <c r="Q17" s="259" t="s">
        <v>1487</v>
      </c>
      <c r="R17" s="259" t="s">
        <v>1488</v>
      </c>
    </row>
    <row r="18" spans="1:18" ht="87.75" customHeight="1">
      <c r="A18" s="45" t="s">
        <v>196</v>
      </c>
      <c r="B18" s="65">
        <v>4103</v>
      </c>
      <c r="C18" s="29" t="s">
        <v>198</v>
      </c>
      <c r="D18" s="26" t="s">
        <v>197</v>
      </c>
      <c r="E18" s="31" t="s">
        <v>19</v>
      </c>
      <c r="F18" s="30" t="s">
        <v>19</v>
      </c>
      <c r="G18" s="26" t="s">
        <v>199</v>
      </c>
      <c r="H18" s="26" t="s">
        <v>728</v>
      </c>
      <c r="I18" s="208" t="s">
        <v>1192</v>
      </c>
      <c r="J18" s="206" t="s">
        <v>3469</v>
      </c>
      <c r="K18" s="213" t="s">
        <v>805</v>
      </c>
      <c r="L18" s="26"/>
      <c r="M18" s="5" t="s">
        <v>1724</v>
      </c>
      <c r="N18" s="26"/>
      <c r="O18" s="26"/>
      <c r="P18" s="26"/>
      <c r="Q18" s="259" t="s">
        <v>1489</v>
      </c>
      <c r="R18" s="259" t="s">
        <v>1490</v>
      </c>
    </row>
    <row r="19" spans="1:18" ht="87.75" customHeight="1">
      <c r="A19" s="35" t="s">
        <v>69</v>
      </c>
      <c r="B19" s="66">
        <v>4634</v>
      </c>
      <c r="C19" s="61" t="s">
        <v>697</v>
      </c>
      <c r="D19" s="57" t="s">
        <v>18</v>
      </c>
      <c r="E19" s="39" t="s">
        <v>31</v>
      </c>
      <c r="F19" s="31" t="s">
        <v>20</v>
      </c>
      <c r="G19" s="57" t="s">
        <v>698</v>
      </c>
      <c r="H19" s="57" t="s">
        <v>699</v>
      </c>
      <c r="I19" s="209" t="s">
        <v>1193</v>
      </c>
      <c r="J19" s="207" t="s">
        <v>3470</v>
      </c>
      <c r="K19" s="214" t="s">
        <v>815</v>
      </c>
      <c r="L19" s="26"/>
      <c r="M19" s="24" t="s">
        <v>3355</v>
      </c>
      <c r="N19" s="57" t="s">
        <v>700</v>
      </c>
      <c r="O19" s="26"/>
      <c r="P19" s="26"/>
      <c r="Q19" s="259" t="s">
        <v>1491</v>
      </c>
      <c r="R19" s="259" t="s">
        <v>1492</v>
      </c>
    </row>
    <row r="20" spans="1:18" ht="87.75" customHeight="1">
      <c r="A20" s="38" t="s">
        <v>139</v>
      </c>
      <c r="B20" s="65">
        <v>4699</v>
      </c>
      <c r="C20" s="29" t="s">
        <v>725</v>
      </c>
      <c r="D20" s="26" t="s">
        <v>18</v>
      </c>
      <c r="E20" s="31" t="s">
        <v>20</v>
      </c>
      <c r="F20" s="31" t="s">
        <v>20</v>
      </c>
      <c r="G20" s="26" t="s">
        <v>726</v>
      </c>
      <c r="H20" s="26" t="s">
        <v>730</v>
      </c>
      <c r="I20" s="208" t="s">
        <v>1194</v>
      </c>
      <c r="J20" s="206" t="s">
        <v>3471</v>
      </c>
      <c r="K20" s="215" t="s">
        <v>816</v>
      </c>
      <c r="L20" s="73"/>
      <c r="M20" s="5" t="s">
        <v>3356</v>
      </c>
      <c r="N20" s="73"/>
      <c r="O20" s="73"/>
      <c r="P20" s="73"/>
      <c r="Q20" s="259" t="s">
        <v>1493</v>
      </c>
      <c r="R20" s="259" t="s">
        <v>1494</v>
      </c>
    </row>
    <row r="21" spans="1:18" ht="87.75" customHeight="1">
      <c r="A21" s="42" t="s">
        <v>180</v>
      </c>
      <c r="B21" s="65">
        <v>5145</v>
      </c>
      <c r="C21" s="29" t="s">
        <v>187</v>
      </c>
      <c r="D21" s="26" t="s">
        <v>18</v>
      </c>
      <c r="E21" s="30" t="s">
        <v>19</v>
      </c>
      <c r="F21" s="31" t="s">
        <v>20</v>
      </c>
      <c r="G21" s="26" t="s">
        <v>188</v>
      </c>
      <c r="H21" s="26" t="s">
        <v>731</v>
      </c>
      <c r="I21" s="208" t="s">
        <v>1195</v>
      </c>
      <c r="J21" s="206" t="s">
        <v>3447</v>
      </c>
      <c r="K21" s="213" t="s">
        <v>817</v>
      </c>
      <c r="L21" s="26" t="s">
        <v>189</v>
      </c>
      <c r="M21" s="5" t="s">
        <v>3357</v>
      </c>
      <c r="N21" s="26" t="s">
        <v>190</v>
      </c>
      <c r="O21" s="26"/>
      <c r="P21" s="26"/>
      <c r="Q21" s="259" t="s">
        <v>1495</v>
      </c>
      <c r="R21" s="259" t="s">
        <v>1496</v>
      </c>
    </row>
    <row r="22" spans="1:18" ht="87.75" customHeight="1">
      <c r="A22" s="28" t="s">
        <v>69</v>
      </c>
      <c r="B22" s="65">
        <v>4740</v>
      </c>
      <c r="C22" s="29" t="s">
        <v>70</v>
      </c>
      <c r="D22" s="26" t="s">
        <v>18</v>
      </c>
      <c r="E22" s="30" t="s">
        <v>19</v>
      </c>
      <c r="F22" s="30" t="s">
        <v>19</v>
      </c>
      <c r="G22" s="26" t="s">
        <v>71</v>
      </c>
      <c r="H22" s="26" t="s">
        <v>72</v>
      </c>
      <c r="I22" s="208" t="s">
        <v>1196</v>
      </c>
      <c r="J22" s="206" t="s">
        <v>3472</v>
      </c>
      <c r="K22" s="213" t="s">
        <v>818</v>
      </c>
      <c r="L22" s="26"/>
      <c r="M22" s="5" t="s">
        <v>3358</v>
      </c>
      <c r="N22" s="26"/>
      <c r="O22" s="26" t="s">
        <v>73</v>
      </c>
      <c r="P22" s="26" t="s">
        <v>1156</v>
      </c>
      <c r="Q22" s="259" t="s">
        <v>1497</v>
      </c>
      <c r="R22" s="259" t="s">
        <v>1498</v>
      </c>
    </row>
    <row r="23" spans="1:18" ht="87.75" customHeight="1">
      <c r="A23" s="28" t="s">
        <v>69</v>
      </c>
      <c r="B23" s="65">
        <v>4726</v>
      </c>
      <c r="C23" s="29" t="s">
        <v>88</v>
      </c>
      <c r="D23" s="26" t="s">
        <v>18</v>
      </c>
      <c r="E23" s="32" t="s">
        <v>20</v>
      </c>
      <c r="F23" s="56" t="s">
        <v>89</v>
      </c>
      <c r="G23" s="26" t="s">
        <v>90</v>
      </c>
      <c r="H23" s="26" t="s">
        <v>91</v>
      </c>
      <c r="I23" s="208" t="s">
        <v>1197</v>
      </c>
      <c r="J23" s="206" t="s">
        <v>3473</v>
      </c>
      <c r="K23" s="213" t="s">
        <v>819</v>
      </c>
      <c r="L23" s="26"/>
      <c r="M23" s="5" t="s">
        <v>3359</v>
      </c>
      <c r="N23" s="26"/>
      <c r="O23" s="26"/>
      <c r="P23" s="26" t="s">
        <v>1157</v>
      </c>
      <c r="Q23" s="259" t="s">
        <v>1499</v>
      </c>
      <c r="R23" s="259" t="s">
        <v>1500</v>
      </c>
    </row>
    <row r="24" spans="1:18" ht="87.75" customHeight="1">
      <c r="A24" s="48" t="s">
        <v>16</v>
      </c>
      <c r="B24" s="65">
        <v>4768</v>
      </c>
      <c r="C24" s="26" t="s">
        <v>17</v>
      </c>
      <c r="D24" s="26" t="s">
        <v>18</v>
      </c>
      <c r="E24" s="30" t="s">
        <v>31</v>
      </c>
      <c r="F24" s="31" t="s">
        <v>20</v>
      </c>
      <c r="G24" s="26" t="s">
        <v>21</v>
      </c>
      <c r="H24" s="26" t="s">
        <v>22</v>
      </c>
      <c r="I24" s="208" t="s">
        <v>1198</v>
      </c>
      <c r="J24" s="206" t="s">
        <v>3474</v>
      </c>
      <c r="K24" s="213" t="s">
        <v>820</v>
      </c>
      <c r="L24" s="26"/>
      <c r="M24" s="5" t="s">
        <v>3360</v>
      </c>
      <c r="N24" s="26" t="s">
        <v>23</v>
      </c>
      <c r="O24" s="26"/>
      <c r="P24" s="26"/>
      <c r="Q24" s="259" t="s">
        <v>1501</v>
      </c>
      <c r="R24" s="259" t="s">
        <v>1502</v>
      </c>
    </row>
    <row r="25" spans="1:18" ht="87.75" customHeight="1">
      <c r="A25" s="48" t="s">
        <v>16</v>
      </c>
      <c r="B25" s="65">
        <v>4648</v>
      </c>
      <c r="C25" s="26" t="s">
        <v>30</v>
      </c>
      <c r="D25" s="26" t="s">
        <v>18</v>
      </c>
      <c r="E25" s="31" t="s">
        <v>20</v>
      </c>
      <c r="F25" s="39" t="s">
        <v>31</v>
      </c>
      <c r="G25" s="26" t="s">
        <v>732</v>
      </c>
      <c r="H25" s="26" t="s">
        <v>733</v>
      </c>
      <c r="I25" s="208" t="s">
        <v>1199</v>
      </c>
      <c r="J25" s="206" t="s">
        <v>3475</v>
      </c>
      <c r="K25" s="213" t="s">
        <v>814</v>
      </c>
      <c r="L25" s="26" t="s">
        <v>32</v>
      </c>
      <c r="M25" s="5" t="s">
        <v>3361</v>
      </c>
      <c r="N25" s="26"/>
      <c r="O25" s="26"/>
      <c r="P25" s="26"/>
      <c r="Q25" s="259" t="s">
        <v>1503</v>
      </c>
      <c r="R25" s="259" t="s">
        <v>1504</v>
      </c>
    </row>
    <row r="26" spans="1:18" ht="87.75" customHeight="1">
      <c r="A26" s="48" t="s">
        <v>16</v>
      </c>
      <c r="B26" s="65">
        <v>4769</v>
      </c>
      <c r="C26" s="26" t="s">
        <v>33</v>
      </c>
      <c r="D26" s="26" t="s">
        <v>18</v>
      </c>
      <c r="E26" s="31" t="s">
        <v>19</v>
      </c>
      <c r="F26" s="31" t="s">
        <v>20</v>
      </c>
      <c r="G26" s="26" t="s">
        <v>34</v>
      </c>
      <c r="H26" s="26" t="s">
        <v>35</v>
      </c>
      <c r="I26" s="208" t="s">
        <v>1200</v>
      </c>
      <c r="J26" s="206" t="s">
        <v>3476</v>
      </c>
      <c r="K26" s="213" t="s">
        <v>821</v>
      </c>
      <c r="L26" s="26"/>
      <c r="M26" s="5" t="s">
        <v>3362</v>
      </c>
      <c r="N26" s="26" t="s">
        <v>36</v>
      </c>
      <c r="O26" s="26"/>
      <c r="P26" s="26"/>
      <c r="Q26" s="259" t="s">
        <v>1505</v>
      </c>
      <c r="R26" s="259" t="s">
        <v>1506</v>
      </c>
    </row>
    <row r="27" spans="1:18" ht="87.75" customHeight="1">
      <c r="A27" s="28" t="s">
        <v>69</v>
      </c>
      <c r="B27" s="65">
        <v>4725</v>
      </c>
      <c r="C27" s="26" t="s">
        <v>74</v>
      </c>
      <c r="D27" s="26" t="s">
        <v>18</v>
      </c>
      <c r="E27" s="30" t="s">
        <v>19</v>
      </c>
      <c r="F27" s="39" t="s">
        <v>31</v>
      </c>
      <c r="G27" s="26" t="s">
        <v>75</v>
      </c>
      <c r="H27" s="26" t="s">
        <v>76</v>
      </c>
      <c r="I27" s="208" t="s">
        <v>1201</v>
      </c>
      <c r="J27" s="206" t="s">
        <v>3477</v>
      </c>
      <c r="K27" s="213" t="s">
        <v>819</v>
      </c>
      <c r="L27" s="26"/>
      <c r="M27" s="5" t="s">
        <v>3363</v>
      </c>
      <c r="N27" s="26"/>
      <c r="O27" s="26"/>
      <c r="P27" s="26" t="s">
        <v>1158</v>
      </c>
      <c r="Q27" s="259" t="s">
        <v>1507</v>
      </c>
      <c r="R27" s="259" t="s">
        <v>1508</v>
      </c>
    </row>
    <row r="28" spans="1:18" ht="87.75" customHeight="1">
      <c r="A28" s="28" t="s">
        <v>69</v>
      </c>
      <c r="B28" s="65">
        <v>4724</v>
      </c>
      <c r="C28" s="26" t="s">
        <v>77</v>
      </c>
      <c r="D28" s="26" t="s">
        <v>18</v>
      </c>
      <c r="E28" s="31" t="s">
        <v>20</v>
      </c>
      <c r="F28" s="39" t="s">
        <v>31</v>
      </c>
      <c r="G28" s="26" t="s">
        <v>78</v>
      </c>
      <c r="H28" s="26" t="s">
        <v>79</v>
      </c>
      <c r="I28" s="208" t="s">
        <v>1202</v>
      </c>
      <c r="J28" s="206" t="s">
        <v>3478</v>
      </c>
      <c r="K28" s="213" t="s">
        <v>822</v>
      </c>
      <c r="L28" s="26"/>
      <c r="M28" s="5" t="s">
        <v>3364</v>
      </c>
      <c r="N28" s="26"/>
      <c r="O28" s="26"/>
      <c r="P28" s="26" t="s">
        <v>1159</v>
      </c>
      <c r="Q28" s="259" t="s">
        <v>1509</v>
      </c>
      <c r="R28" s="259" t="s">
        <v>1510</v>
      </c>
    </row>
    <row r="29" spans="1:18" ht="87.75" customHeight="1">
      <c r="A29" s="28" t="s">
        <v>69</v>
      </c>
      <c r="B29" s="65">
        <v>4722</v>
      </c>
      <c r="C29" s="26" t="s">
        <v>80</v>
      </c>
      <c r="D29" s="26" t="s">
        <v>18</v>
      </c>
      <c r="E29" s="31" t="s">
        <v>20</v>
      </c>
      <c r="F29" s="39" t="s">
        <v>31</v>
      </c>
      <c r="G29" s="26" t="s">
        <v>81</v>
      </c>
      <c r="H29" s="26" t="s">
        <v>82</v>
      </c>
      <c r="I29" s="208" t="s">
        <v>1203</v>
      </c>
      <c r="J29" s="206" t="s">
        <v>3479</v>
      </c>
      <c r="K29" s="213" t="s">
        <v>823</v>
      </c>
      <c r="L29" s="26"/>
      <c r="M29" s="5" t="s">
        <v>3365</v>
      </c>
      <c r="N29" s="26"/>
      <c r="O29" s="26"/>
      <c r="P29" s="26" t="s">
        <v>1160</v>
      </c>
      <c r="Q29" s="259" t="s">
        <v>1511</v>
      </c>
      <c r="R29" s="259" t="s">
        <v>1512</v>
      </c>
    </row>
    <row r="30" spans="1:18" ht="87.75" customHeight="1">
      <c r="A30" s="33" t="s">
        <v>92</v>
      </c>
      <c r="B30" s="65">
        <v>4728</v>
      </c>
      <c r="C30" s="26" t="s">
        <v>93</v>
      </c>
      <c r="D30" s="26" t="s">
        <v>18</v>
      </c>
      <c r="E30" s="31" t="s">
        <v>20</v>
      </c>
      <c r="F30" s="39" t="s">
        <v>31</v>
      </c>
      <c r="G30" s="26" t="s">
        <v>94</v>
      </c>
      <c r="H30" s="26" t="s">
        <v>95</v>
      </c>
      <c r="I30" s="208" t="s">
        <v>1204</v>
      </c>
      <c r="J30" s="206" t="s">
        <v>3480</v>
      </c>
      <c r="K30" s="213" t="s">
        <v>824</v>
      </c>
      <c r="L30" s="26"/>
      <c r="M30" s="5" t="s">
        <v>3366</v>
      </c>
      <c r="N30" s="26" t="s">
        <v>96</v>
      </c>
      <c r="O30" s="26"/>
      <c r="P30" s="26" t="s">
        <v>1161</v>
      </c>
      <c r="Q30" s="259" t="s">
        <v>1513</v>
      </c>
      <c r="R30" s="259" t="s">
        <v>1514</v>
      </c>
    </row>
    <row r="31" spans="1:18" ht="87.75" customHeight="1">
      <c r="A31" s="33" t="s">
        <v>92</v>
      </c>
      <c r="B31" s="65">
        <v>4729</v>
      </c>
      <c r="C31" s="26" t="s">
        <v>97</v>
      </c>
      <c r="D31" s="26" t="s">
        <v>18</v>
      </c>
      <c r="E31" s="31" t="s">
        <v>20</v>
      </c>
      <c r="F31" s="39" t="s">
        <v>31</v>
      </c>
      <c r="G31" s="26" t="s">
        <v>98</v>
      </c>
      <c r="H31" s="26" t="s">
        <v>99</v>
      </c>
      <c r="I31" s="208" t="s">
        <v>1205</v>
      </c>
      <c r="J31" s="206" t="s">
        <v>3481</v>
      </c>
      <c r="K31" s="213" t="s">
        <v>822</v>
      </c>
      <c r="L31" s="26"/>
      <c r="M31" s="5" t="s">
        <v>3367</v>
      </c>
      <c r="N31" s="26"/>
      <c r="O31" s="26"/>
      <c r="P31" s="26" t="s">
        <v>1161</v>
      </c>
      <c r="Q31" s="259" t="s">
        <v>1515</v>
      </c>
      <c r="R31" s="259" t="s">
        <v>1516</v>
      </c>
    </row>
    <row r="32" spans="1:18" ht="87.75" customHeight="1">
      <c r="A32" s="33" t="s">
        <v>92</v>
      </c>
      <c r="B32" s="65">
        <v>4732</v>
      </c>
      <c r="C32" s="26" t="s">
        <v>100</v>
      </c>
      <c r="D32" s="26" t="s">
        <v>18</v>
      </c>
      <c r="E32" s="31" t="s">
        <v>20</v>
      </c>
      <c r="F32" s="39" t="s">
        <v>31</v>
      </c>
      <c r="G32" s="26" t="s">
        <v>101</v>
      </c>
      <c r="H32" s="26" t="s">
        <v>102</v>
      </c>
      <c r="I32" s="208" t="s">
        <v>1206</v>
      </c>
      <c r="J32" s="206" t="s">
        <v>3482</v>
      </c>
      <c r="K32" s="213" t="s">
        <v>825</v>
      </c>
      <c r="L32" s="26"/>
      <c r="M32" s="5" t="s">
        <v>3368</v>
      </c>
      <c r="N32" s="26"/>
      <c r="O32" s="26"/>
      <c r="P32" s="26" t="s">
        <v>1162</v>
      </c>
      <c r="Q32" s="259" t="s">
        <v>1517</v>
      </c>
      <c r="R32" s="259" t="s">
        <v>1518</v>
      </c>
    </row>
    <row r="33" spans="1:18" ht="87.75" customHeight="1">
      <c r="A33" s="37" t="s">
        <v>126</v>
      </c>
      <c r="B33" s="65">
        <v>4689</v>
      </c>
      <c r="C33" s="26" t="s">
        <v>127</v>
      </c>
      <c r="D33" s="26" t="s">
        <v>18</v>
      </c>
      <c r="E33" s="30" t="s">
        <v>19</v>
      </c>
      <c r="F33" s="31" t="s">
        <v>20</v>
      </c>
      <c r="G33" s="26" t="s">
        <v>128</v>
      </c>
      <c r="H33" s="26" t="s">
        <v>129</v>
      </c>
      <c r="I33" s="208" t="s">
        <v>1207</v>
      </c>
      <c r="J33" s="206" t="s">
        <v>3483</v>
      </c>
      <c r="K33" s="213" t="s">
        <v>823</v>
      </c>
      <c r="L33" s="26"/>
      <c r="M33" s="5" t="s">
        <v>3369</v>
      </c>
      <c r="N33" s="26"/>
      <c r="O33" s="26"/>
      <c r="P33" s="26"/>
      <c r="Q33" s="259" t="s">
        <v>1519</v>
      </c>
      <c r="R33" s="259" t="s">
        <v>1520</v>
      </c>
    </row>
    <row r="34" spans="1:18" ht="87.75" customHeight="1">
      <c r="A34" s="38" t="s">
        <v>139</v>
      </c>
      <c r="B34" s="65">
        <v>4702</v>
      </c>
      <c r="C34" s="26" t="s">
        <v>144</v>
      </c>
      <c r="D34" s="26" t="s">
        <v>18</v>
      </c>
      <c r="E34" s="31" t="s">
        <v>20</v>
      </c>
      <c r="F34" s="39" t="s">
        <v>31</v>
      </c>
      <c r="G34" s="26" t="s">
        <v>145</v>
      </c>
      <c r="H34" s="26" t="s">
        <v>146</v>
      </c>
      <c r="I34" s="208" t="s">
        <v>1208</v>
      </c>
      <c r="J34" s="206" t="s">
        <v>3484</v>
      </c>
      <c r="K34" s="213" t="s">
        <v>807</v>
      </c>
      <c r="L34" s="26"/>
      <c r="M34" s="5" t="s">
        <v>3370</v>
      </c>
      <c r="N34" s="26"/>
      <c r="O34" s="26"/>
      <c r="P34" s="26"/>
      <c r="Q34" s="259" t="s">
        <v>1521</v>
      </c>
      <c r="R34" s="259" t="s">
        <v>1522</v>
      </c>
    </row>
    <row r="35" spans="1:18" ht="87.75" customHeight="1">
      <c r="A35" s="40" t="s">
        <v>153</v>
      </c>
      <c r="B35" s="65">
        <v>4656</v>
      </c>
      <c r="C35" s="29" t="s">
        <v>154</v>
      </c>
      <c r="D35" s="26" t="s">
        <v>18</v>
      </c>
      <c r="E35" s="31" t="s">
        <v>20</v>
      </c>
      <c r="F35" s="55" t="s">
        <v>131</v>
      </c>
      <c r="G35" s="26" t="s">
        <v>155</v>
      </c>
      <c r="H35" s="26" t="s">
        <v>156</v>
      </c>
      <c r="I35" s="208" t="s">
        <v>1209</v>
      </c>
      <c r="J35" s="206" t="s">
        <v>3485</v>
      </c>
      <c r="K35" s="213" t="s">
        <v>826</v>
      </c>
      <c r="L35" s="26"/>
      <c r="M35" s="5" t="s">
        <v>3371</v>
      </c>
      <c r="N35" s="26" t="s">
        <v>157</v>
      </c>
      <c r="O35" s="26"/>
      <c r="P35" s="26" t="s">
        <v>1163</v>
      </c>
      <c r="Q35" s="259" t="s">
        <v>1523</v>
      </c>
      <c r="R35" s="259" t="s">
        <v>1524</v>
      </c>
    </row>
    <row r="36" spans="1:18" ht="87.75" customHeight="1">
      <c r="A36" s="40" t="s">
        <v>153</v>
      </c>
      <c r="B36" s="65">
        <v>4663</v>
      </c>
      <c r="C36" s="26" t="s">
        <v>161</v>
      </c>
      <c r="D36" s="26" t="s">
        <v>18</v>
      </c>
      <c r="E36" s="31" t="s">
        <v>20</v>
      </c>
      <c r="F36" s="55" t="s">
        <v>131</v>
      </c>
      <c r="G36" s="26" t="s">
        <v>162</v>
      </c>
      <c r="H36" s="26" t="s">
        <v>163</v>
      </c>
      <c r="I36" s="208" t="s">
        <v>1210</v>
      </c>
      <c r="J36" s="206" t="s">
        <v>3486</v>
      </c>
      <c r="K36" s="213" t="s">
        <v>827</v>
      </c>
      <c r="L36" s="26"/>
      <c r="M36" s="5" t="s">
        <v>3372</v>
      </c>
      <c r="N36" s="26"/>
      <c r="O36" s="26"/>
      <c r="P36" s="26" t="s">
        <v>1164</v>
      </c>
      <c r="Q36" s="259" t="s">
        <v>1525</v>
      </c>
      <c r="R36" s="259" t="s">
        <v>1526</v>
      </c>
    </row>
    <row r="37" spans="1:18" ht="87.75" customHeight="1">
      <c r="A37" s="40" t="s">
        <v>153</v>
      </c>
      <c r="B37" s="65">
        <v>4662</v>
      </c>
      <c r="C37" s="26" t="s">
        <v>164</v>
      </c>
      <c r="D37" s="26" t="s">
        <v>18</v>
      </c>
      <c r="E37" s="32" t="s">
        <v>20</v>
      </c>
      <c r="F37" s="30" t="s">
        <v>19</v>
      </c>
      <c r="G37" s="26" t="s">
        <v>165</v>
      </c>
      <c r="H37" s="26" t="s">
        <v>166</v>
      </c>
      <c r="I37" s="208" t="s">
        <v>1211</v>
      </c>
      <c r="J37" s="206" t="s">
        <v>3487</v>
      </c>
      <c r="K37" s="213" t="s">
        <v>828</v>
      </c>
      <c r="L37" s="26"/>
      <c r="M37" s="5" t="s">
        <v>3373</v>
      </c>
      <c r="N37" s="26" t="s">
        <v>167</v>
      </c>
      <c r="O37" s="26"/>
      <c r="P37" s="26"/>
      <c r="Q37" s="259" t="s">
        <v>1527</v>
      </c>
      <c r="R37" s="259" t="s">
        <v>1528</v>
      </c>
    </row>
    <row r="38" spans="1:18" ht="87.75" customHeight="1">
      <c r="A38" s="34" t="s">
        <v>103</v>
      </c>
      <c r="B38" s="65">
        <v>4673</v>
      </c>
      <c r="C38" s="26" t="s">
        <v>108</v>
      </c>
      <c r="D38" s="26" t="s">
        <v>18</v>
      </c>
      <c r="E38" s="31" t="s">
        <v>19</v>
      </c>
      <c r="F38" s="30" t="s">
        <v>19</v>
      </c>
      <c r="G38" s="26" t="s">
        <v>109</v>
      </c>
      <c r="H38" s="26" t="s">
        <v>110</v>
      </c>
      <c r="I38" s="208" t="s">
        <v>1212</v>
      </c>
      <c r="J38" s="206" t="s">
        <v>3488</v>
      </c>
      <c r="K38" s="213" t="s">
        <v>829</v>
      </c>
      <c r="L38" s="26"/>
      <c r="M38" s="5" t="s">
        <v>3374</v>
      </c>
      <c r="N38" s="26"/>
      <c r="O38" s="26"/>
      <c r="P38" s="26" t="s">
        <v>1165</v>
      </c>
      <c r="Q38" s="259" t="s">
        <v>1529</v>
      </c>
      <c r="R38" s="259" t="s">
        <v>1530</v>
      </c>
    </row>
    <row r="39" spans="1:18" ht="87.75" customHeight="1">
      <c r="A39" s="49" t="s">
        <v>218</v>
      </c>
      <c r="B39" s="65">
        <v>4608</v>
      </c>
      <c r="C39" s="26" t="s">
        <v>219</v>
      </c>
      <c r="D39" s="26" t="s">
        <v>18</v>
      </c>
      <c r="E39" s="30" t="s">
        <v>19</v>
      </c>
      <c r="F39" s="39" t="s">
        <v>31</v>
      </c>
      <c r="G39" s="26" t="s">
        <v>220</v>
      </c>
      <c r="H39" s="26" t="s">
        <v>221</v>
      </c>
      <c r="I39" s="208" t="s">
        <v>1213</v>
      </c>
      <c r="J39" s="206" t="s">
        <v>3489</v>
      </c>
      <c r="K39" s="213" t="s">
        <v>830</v>
      </c>
      <c r="L39" s="26"/>
      <c r="M39" s="5" t="s">
        <v>3375</v>
      </c>
      <c r="N39" s="26"/>
      <c r="O39" s="26"/>
      <c r="P39" s="26"/>
      <c r="Q39" s="259" t="s">
        <v>1531</v>
      </c>
      <c r="R39" s="259" t="s">
        <v>1532</v>
      </c>
    </row>
    <row r="40" spans="1:18" ht="87.75" customHeight="1">
      <c r="A40" s="49" t="s">
        <v>218</v>
      </c>
      <c r="B40" s="65">
        <v>4616</v>
      </c>
      <c r="C40" s="26" t="s">
        <v>222</v>
      </c>
      <c r="D40" s="26" t="s">
        <v>18</v>
      </c>
      <c r="E40" s="30" t="s">
        <v>19</v>
      </c>
      <c r="F40" s="39" t="s">
        <v>31</v>
      </c>
      <c r="G40" s="26" t="s">
        <v>223</v>
      </c>
      <c r="H40" s="26" t="s">
        <v>224</v>
      </c>
      <c r="I40" s="208" t="s">
        <v>1214</v>
      </c>
      <c r="J40" s="206" t="s">
        <v>3490</v>
      </c>
      <c r="K40" s="213" t="s">
        <v>831</v>
      </c>
      <c r="L40" s="26"/>
      <c r="M40" s="5" t="s">
        <v>3376</v>
      </c>
      <c r="N40" s="26"/>
      <c r="O40" s="26"/>
      <c r="P40" s="26" t="s">
        <v>1166</v>
      </c>
      <c r="Q40" s="259" t="s">
        <v>1533</v>
      </c>
      <c r="R40" s="259" t="s">
        <v>1534</v>
      </c>
    </row>
    <row r="41" spans="1:18" ht="87.75" customHeight="1">
      <c r="A41" s="50" t="s">
        <v>228</v>
      </c>
      <c r="B41" s="65">
        <v>4947</v>
      </c>
      <c r="C41" s="26" t="s">
        <v>232</v>
      </c>
      <c r="D41" s="26" t="s">
        <v>18</v>
      </c>
      <c r="E41" s="31" t="s">
        <v>20</v>
      </c>
      <c r="F41" s="39" t="s">
        <v>31</v>
      </c>
      <c r="G41" s="26" t="s">
        <v>233</v>
      </c>
      <c r="H41" s="26" t="s">
        <v>234</v>
      </c>
      <c r="I41" s="208" t="s">
        <v>1215</v>
      </c>
      <c r="J41" s="206" t="s">
        <v>3491</v>
      </c>
      <c r="K41" s="213" t="s">
        <v>810</v>
      </c>
      <c r="L41" s="26"/>
      <c r="M41" s="5" t="s">
        <v>3377</v>
      </c>
      <c r="N41" s="26"/>
      <c r="O41" s="26"/>
      <c r="P41" s="26" t="s">
        <v>1167</v>
      </c>
      <c r="Q41" s="259" t="s">
        <v>1535</v>
      </c>
      <c r="R41" s="259" t="s">
        <v>1536</v>
      </c>
    </row>
    <row r="42" spans="1:18" ht="87.75" customHeight="1">
      <c r="A42" s="51" t="s">
        <v>235</v>
      </c>
      <c r="B42" s="65">
        <v>5157</v>
      </c>
      <c r="C42" s="26" t="s">
        <v>239</v>
      </c>
      <c r="D42" s="26" t="s">
        <v>18</v>
      </c>
      <c r="E42" s="30" t="s">
        <v>19</v>
      </c>
      <c r="F42" s="31" t="s">
        <v>20</v>
      </c>
      <c r="G42" s="26" t="s">
        <v>240</v>
      </c>
      <c r="H42" s="26" t="s">
        <v>241</v>
      </c>
      <c r="I42" s="208" t="s">
        <v>1216</v>
      </c>
      <c r="J42" s="206" t="s">
        <v>3492</v>
      </c>
      <c r="K42" s="213" t="s">
        <v>832</v>
      </c>
      <c r="L42" s="26"/>
      <c r="M42" s="5" t="s">
        <v>3378</v>
      </c>
      <c r="N42" s="26"/>
      <c r="O42" s="26"/>
      <c r="P42" s="26"/>
      <c r="Q42" s="259" t="s">
        <v>1537</v>
      </c>
      <c r="R42" s="259" t="s">
        <v>1538</v>
      </c>
    </row>
    <row r="43" spans="1:18" ht="87.75" customHeight="1">
      <c r="A43" s="52" t="s">
        <v>16</v>
      </c>
      <c r="B43" s="65">
        <v>4778</v>
      </c>
      <c r="C43" s="26" t="s">
        <v>41</v>
      </c>
      <c r="D43" s="26" t="s">
        <v>18</v>
      </c>
      <c r="E43" s="30" t="s">
        <v>19</v>
      </c>
      <c r="F43" s="30" t="s">
        <v>19</v>
      </c>
      <c r="G43" s="26" t="s">
        <v>42</v>
      </c>
      <c r="H43" s="26" t="s">
        <v>43</v>
      </c>
      <c r="I43" s="208" t="s">
        <v>1217</v>
      </c>
      <c r="J43" s="206" t="s">
        <v>3493</v>
      </c>
      <c r="K43" s="213" t="s">
        <v>833</v>
      </c>
      <c r="L43" s="26" t="s">
        <v>44</v>
      </c>
      <c r="M43" s="5" t="s">
        <v>3379</v>
      </c>
      <c r="N43" s="26" t="s">
        <v>45</v>
      </c>
      <c r="O43" s="26"/>
      <c r="P43" s="26"/>
      <c r="Q43" s="259" t="s">
        <v>1539</v>
      </c>
      <c r="R43" s="259" t="s">
        <v>1540</v>
      </c>
    </row>
    <row r="44" spans="1:18" ht="87.75" customHeight="1">
      <c r="A44" s="52" t="s">
        <v>16</v>
      </c>
      <c r="B44" s="65">
        <v>4779</v>
      </c>
      <c r="C44" s="26" t="s">
        <v>46</v>
      </c>
      <c r="D44" s="26" t="s">
        <v>18</v>
      </c>
      <c r="E44" s="30" t="s">
        <v>19</v>
      </c>
      <c r="F44" s="30" t="s">
        <v>19</v>
      </c>
      <c r="G44" s="26" t="s">
        <v>47</v>
      </c>
      <c r="H44" s="26" t="s">
        <v>48</v>
      </c>
      <c r="I44" s="208" t="s">
        <v>1218</v>
      </c>
      <c r="J44" s="206" t="s">
        <v>3494</v>
      </c>
      <c r="K44" s="213" t="s">
        <v>823</v>
      </c>
      <c r="L44" s="26" t="s">
        <v>49</v>
      </c>
      <c r="M44" s="5" t="s">
        <v>3380</v>
      </c>
      <c r="N44" s="26" t="s">
        <v>50</v>
      </c>
      <c r="O44" s="26"/>
      <c r="P44" s="26"/>
      <c r="Q44" s="259" t="s">
        <v>1541</v>
      </c>
      <c r="R44" s="259" t="s">
        <v>1542</v>
      </c>
    </row>
    <row r="45" spans="1:18" ht="87.75" customHeight="1">
      <c r="A45" s="52" t="s">
        <v>16</v>
      </c>
      <c r="B45" s="65">
        <v>4800</v>
      </c>
      <c r="C45" s="26" t="s">
        <v>51</v>
      </c>
      <c r="D45" s="26" t="s">
        <v>18</v>
      </c>
      <c r="E45" s="30" t="s">
        <v>19</v>
      </c>
      <c r="F45" s="30" t="s">
        <v>19</v>
      </c>
      <c r="G45" s="26" t="s">
        <v>52</v>
      </c>
      <c r="H45" s="26" t="s">
        <v>53</v>
      </c>
      <c r="I45" s="208" t="s">
        <v>1219</v>
      </c>
      <c r="J45" s="206" t="s">
        <v>3495</v>
      </c>
      <c r="K45" s="213" t="s">
        <v>823</v>
      </c>
      <c r="L45" s="26" t="s">
        <v>54</v>
      </c>
      <c r="M45" s="5" t="s">
        <v>3381</v>
      </c>
      <c r="N45" s="26" t="s">
        <v>55</v>
      </c>
      <c r="O45" s="26"/>
      <c r="P45" s="26"/>
      <c r="Q45" s="259" t="s">
        <v>1543</v>
      </c>
      <c r="R45" s="259" t="s">
        <v>1544</v>
      </c>
    </row>
    <row r="46" spans="1:18" ht="87.75" customHeight="1">
      <c r="A46" s="52" t="s">
        <v>16</v>
      </c>
      <c r="B46" s="65">
        <v>4801</v>
      </c>
      <c r="C46" s="26" t="s">
        <v>56</v>
      </c>
      <c r="D46" s="26" t="s">
        <v>18</v>
      </c>
      <c r="E46" s="30" t="s">
        <v>19</v>
      </c>
      <c r="F46" s="30" t="s">
        <v>19</v>
      </c>
      <c r="G46" s="26" t="s">
        <v>57</v>
      </c>
      <c r="H46" s="26" t="s">
        <v>53</v>
      </c>
      <c r="I46" s="208" t="s">
        <v>1220</v>
      </c>
      <c r="J46" s="206" t="s">
        <v>3496</v>
      </c>
      <c r="K46" s="213" t="s">
        <v>823</v>
      </c>
      <c r="L46" s="26" t="s">
        <v>58</v>
      </c>
      <c r="M46" s="5" t="s">
        <v>3382</v>
      </c>
      <c r="N46" s="26" t="s">
        <v>55</v>
      </c>
      <c r="O46" s="26"/>
      <c r="P46" s="26"/>
      <c r="Q46" s="259" t="s">
        <v>1545</v>
      </c>
      <c r="R46" s="259" t="s">
        <v>1546</v>
      </c>
    </row>
    <row r="47" spans="1:18" ht="87.75" customHeight="1">
      <c r="A47" s="52" t="s">
        <v>16</v>
      </c>
      <c r="B47" s="65">
        <v>4771</v>
      </c>
      <c r="C47" s="26" t="s">
        <v>59</v>
      </c>
      <c r="D47" s="26" t="s">
        <v>18</v>
      </c>
      <c r="E47" s="31" t="s">
        <v>20</v>
      </c>
      <c r="F47" s="30" t="s">
        <v>19</v>
      </c>
      <c r="G47" s="26" t="s">
        <v>734</v>
      </c>
      <c r="H47" s="26" t="s">
        <v>60</v>
      </c>
      <c r="I47" s="208" t="s">
        <v>1221</v>
      </c>
      <c r="J47" s="206" t="s">
        <v>3497</v>
      </c>
      <c r="K47" s="213" t="s">
        <v>834</v>
      </c>
      <c r="L47" s="26" t="s">
        <v>61</v>
      </c>
      <c r="M47" s="5" t="s">
        <v>3383</v>
      </c>
      <c r="N47" s="26" t="s">
        <v>62</v>
      </c>
      <c r="O47" s="26"/>
      <c r="P47" s="26"/>
      <c r="Q47" s="259" t="s">
        <v>1547</v>
      </c>
      <c r="R47" s="259" t="s">
        <v>1548</v>
      </c>
    </row>
    <row r="48" spans="1:18" ht="87.75" customHeight="1">
      <c r="A48" s="35" t="s">
        <v>69</v>
      </c>
      <c r="B48" s="65">
        <v>4767</v>
      </c>
      <c r="C48" s="26" t="s">
        <v>111</v>
      </c>
      <c r="D48" s="26" t="s">
        <v>18</v>
      </c>
      <c r="E48" s="31" t="s">
        <v>20</v>
      </c>
      <c r="F48" s="39" t="s">
        <v>31</v>
      </c>
      <c r="G48" s="26" t="s">
        <v>112</v>
      </c>
      <c r="H48" s="26" t="s">
        <v>113</v>
      </c>
      <c r="I48" s="208" t="s">
        <v>1222</v>
      </c>
      <c r="J48" s="206" t="s">
        <v>3498</v>
      </c>
      <c r="K48" s="213" t="s">
        <v>819</v>
      </c>
      <c r="L48" s="26" t="s">
        <v>114</v>
      </c>
      <c r="M48" s="5" t="s">
        <v>3384</v>
      </c>
      <c r="N48" s="26" t="s">
        <v>115</v>
      </c>
      <c r="O48" s="26"/>
      <c r="P48" s="26" t="s">
        <v>116</v>
      </c>
      <c r="Q48" s="259" t="s">
        <v>1549</v>
      </c>
      <c r="R48" s="259" t="s">
        <v>1550</v>
      </c>
    </row>
    <row r="49" spans="1:18" ht="87.75" customHeight="1">
      <c r="A49" s="35" t="s">
        <v>69</v>
      </c>
      <c r="B49" s="65">
        <v>4738</v>
      </c>
      <c r="C49" s="26" t="s">
        <v>117</v>
      </c>
      <c r="D49" s="26" t="s">
        <v>18</v>
      </c>
      <c r="E49" s="32" t="s">
        <v>20</v>
      </c>
      <c r="F49" s="39" t="s">
        <v>31</v>
      </c>
      <c r="G49" s="26" t="s">
        <v>735</v>
      </c>
      <c r="H49" s="26" t="s">
        <v>118</v>
      </c>
      <c r="I49" s="208" t="s">
        <v>1223</v>
      </c>
      <c r="J49" s="206" t="s">
        <v>3499</v>
      </c>
      <c r="K49" s="216" t="s">
        <v>835</v>
      </c>
      <c r="L49" s="26" t="s">
        <v>119</v>
      </c>
      <c r="M49" s="5" t="s">
        <v>3385</v>
      </c>
      <c r="N49" s="26" t="s">
        <v>120</v>
      </c>
      <c r="O49" s="26"/>
      <c r="P49" s="26" t="s">
        <v>116</v>
      </c>
      <c r="Q49" s="259" t="s">
        <v>1551</v>
      </c>
      <c r="R49" s="259" t="s">
        <v>1552</v>
      </c>
    </row>
    <row r="50" spans="1:18" ht="87.75" customHeight="1">
      <c r="A50" s="36" t="s">
        <v>92</v>
      </c>
      <c r="B50" s="65">
        <v>4754</v>
      </c>
      <c r="C50" s="26" t="s">
        <v>1104</v>
      </c>
      <c r="D50" s="26" t="s">
        <v>18</v>
      </c>
      <c r="E50" s="31" t="s">
        <v>20</v>
      </c>
      <c r="F50" s="39" t="s">
        <v>31</v>
      </c>
      <c r="G50" s="26" t="s">
        <v>4178</v>
      </c>
      <c r="H50" s="26" t="s">
        <v>121</v>
      </c>
      <c r="I50" s="208" t="s">
        <v>1224</v>
      </c>
      <c r="J50" s="206" t="s">
        <v>3500</v>
      </c>
      <c r="K50" s="216" t="s">
        <v>1105</v>
      </c>
      <c r="L50" s="26" t="s">
        <v>122</v>
      </c>
      <c r="M50" s="5" t="s">
        <v>3386</v>
      </c>
      <c r="N50" s="26" t="s">
        <v>123</v>
      </c>
      <c r="O50" s="26"/>
      <c r="P50" s="26" t="s">
        <v>171</v>
      </c>
      <c r="Q50" s="259" t="s">
        <v>1553</v>
      </c>
      <c r="R50" s="259" t="s">
        <v>1554</v>
      </c>
    </row>
    <row r="51" spans="1:18" ht="87.75" customHeight="1">
      <c r="A51" s="36" t="s">
        <v>92</v>
      </c>
      <c r="B51" s="65">
        <v>4755</v>
      </c>
      <c r="C51" s="26" t="s">
        <v>1106</v>
      </c>
      <c r="D51" s="26" t="s">
        <v>18</v>
      </c>
      <c r="E51" s="31" t="s">
        <v>20</v>
      </c>
      <c r="F51" s="39" t="s">
        <v>31</v>
      </c>
      <c r="G51" s="26" t="s">
        <v>1107</v>
      </c>
      <c r="H51" s="26" t="s">
        <v>121</v>
      </c>
      <c r="I51" s="208" t="s">
        <v>1225</v>
      </c>
      <c r="J51" s="206" t="s">
        <v>3501</v>
      </c>
      <c r="K51" s="216" t="s">
        <v>822</v>
      </c>
      <c r="L51" s="26" t="s">
        <v>125</v>
      </c>
      <c r="M51" s="5" t="s">
        <v>3387</v>
      </c>
      <c r="N51" s="26" t="s">
        <v>123</v>
      </c>
      <c r="O51" s="26"/>
      <c r="P51" s="26" t="s">
        <v>171</v>
      </c>
      <c r="Q51" s="259" t="s">
        <v>1555</v>
      </c>
      <c r="R51" s="259" t="s">
        <v>1556</v>
      </c>
    </row>
    <row r="52" spans="1:18" ht="87.75" customHeight="1">
      <c r="A52" s="53" t="s">
        <v>242</v>
      </c>
      <c r="B52" s="65">
        <v>4670</v>
      </c>
      <c r="C52" s="26" t="s">
        <v>243</v>
      </c>
      <c r="D52" s="26" t="s">
        <v>18</v>
      </c>
      <c r="E52" s="31" t="s">
        <v>20</v>
      </c>
      <c r="F52" s="39" t="s">
        <v>31</v>
      </c>
      <c r="G52" s="26" t="s">
        <v>739</v>
      </c>
      <c r="H52" s="26" t="s">
        <v>244</v>
      </c>
      <c r="I52" s="208" t="s">
        <v>1226</v>
      </c>
      <c r="J52" s="206" t="s">
        <v>3502</v>
      </c>
      <c r="K52" s="216" t="s">
        <v>836</v>
      </c>
      <c r="L52" s="26" t="s">
        <v>245</v>
      </c>
      <c r="M52" s="5" t="s">
        <v>3388</v>
      </c>
      <c r="N52" s="26" t="s">
        <v>246</v>
      </c>
      <c r="O52" s="26"/>
      <c r="P52" s="26" t="s">
        <v>247</v>
      </c>
      <c r="Q52" s="259" t="s">
        <v>1557</v>
      </c>
      <c r="R52" s="259" t="s">
        <v>1558</v>
      </c>
    </row>
    <row r="53" spans="1:18" ht="87.75" customHeight="1">
      <c r="A53" s="53" t="s">
        <v>242</v>
      </c>
      <c r="B53" s="65">
        <v>4912</v>
      </c>
      <c r="C53" s="26" t="s">
        <v>740</v>
      </c>
      <c r="D53" s="26" t="s">
        <v>18</v>
      </c>
      <c r="E53" s="31" t="s">
        <v>20</v>
      </c>
      <c r="F53" s="39" t="s">
        <v>89</v>
      </c>
      <c r="G53" s="26" t="s">
        <v>741</v>
      </c>
      <c r="H53" s="26" t="s">
        <v>248</v>
      </c>
      <c r="I53" s="208" t="s">
        <v>1227</v>
      </c>
      <c r="J53" s="206" t="s">
        <v>3503</v>
      </c>
      <c r="K53" s="216" t="s">
        <v>837</v>
      </c>
      <c r="L53" s="26" t="s">
        <v>249</v>
      </c>
      <c r="M53" s="5" t="s">
        <v>3389</v>
      </c>
      <c r="N53" s="26" t="s">
        <v>250</v>
      </c>
      <c r="O53" s="26"/>
      <c r="P53" s="26" t="s">
        <v>171</v>
      </c>
      <c r="Q53" s="259" t="s">
        <v>1559</v>
      </c>
      <c r="R53" s="259" t="s">
        <v>1560</v>
      </c>
    </row>
    <row r="54" spans="1:18" ht="87.75" customHeight="1">
      <c r="A54" s="41" t="s">
        <v>168</v>
      </c>
      <c r="B54" s="65">
        <v>4715</v>
      </c>
      <c r="C54" s="26" t="s">
        <v>742</v>
      </c>
      <c r="D54" s="26" t="s">
        <v>18</v>
      </c>
      <c r="E54" s="31" t="s">
        <v>20</v>
      </c>
      <c r="F54" s="39" t="s">
        <v>31</v>
      </c>
      <c r="G54" s="26" t="s">
        <v>743</v>
      </c>
      <c r="H54" s="26" t="s">
        <v>1131</v>
      </c>
      <c r="I54" s="208" t="s">
        <v>1228</v>
      </c>
      <c r="J54" s="206" t="s">
        <v>3504</v>
      </c>
      <c r="K54" s="216" t="s">
        <v>837</v>
      </c>
      <c r="L54" s="26" t="s">
        <v>169</v>
      </c>
      <c r="M54" s="5" t="s">
        <v>3390</v>
      </c>
      <c r="N54" s="26" t="s">
        <v>170</v>
      </c>
      <c r="O54" s="26"/>
      <c r="P54" s="26" t="s">
        <v>171</v>
      </c>
      <c r="Q54" s="259" t="s">
        <v>1561</v>
      </c>
      <c r="R54" s="259" t="s">
        <v>1562</v>
      </c>
    </row>
    <row r="55" spans="1:18" ht="87.75" customHeight="1">
      <c r="A55" s="41" t="s">
        <v>168</v>
      </c>
      <c r="B55" s="65">
        <v>4704</v>
      </c>
      <c r="C55" s="26" t="s">
        <v>172</v>
      </c>
      <c r="D55" s="26" t="s">
        <v>18</v>
      </c>
      <c r="E55" s="31" t="s">
        <v>20</v>
      </c>
      <c r="F55" s="39" t="s">
        <v>31</v>
      </c>
      <c r="G55" s="26" t="s">
        <v>173</v>
      </c>
      <c r="H55" s="26" t="s">
        <v>744</v>
      </c>
      <c r="I55" s="208" t="s">
        <v>1229</v>
      </c>
      <c r="J55" s="206" t="s">
        <v>3505</v>
      </c>
      <c r="K55" s="216" t="s">
        <v>814</v>
      </c>
      <c r="L55" s="26" t="s">
        <v>174</v>
      </c>
      <c r="M55" s="5" t="s">
        <v>3391</v>
      </c>
      <c r="N55" s="26" t="s">
        <v>175</v>
      </c>
      <c r="O55" s="26"/>
      <c r="P55" s="26" t="s">
        <v>171</v>
      </c>
      <c r="Q55" s="259" t="s">
        <v>1563</v>
      </c>
      <c r="R55" s="259" t="s">
        <v>1564</v>
      </c>
    </row>
    <row r="56" spans="1:18" ht="87.75" customHeight="1">
      <c r="A56" s="41" t="s">
        <v>168</v>
      </c>
      <c r="B56" s="65">
        <v>4719</v>
      </c>
      <c r="C56" s="26" t="s">
        <v>176</v>
      </c>
      <c r="D56" s="26" t="s">
        <v>18</v>
      </c>
      <c r="E56" s="32" t="s">
        <v>84</v>
      </c>
      <c r="F56" s="39" t="s">
        <v>89</v>
      </c>
      <c r="G56" s="26" t="s">
        <v>177</v>
      </c>
      <c r="H56" s="26" t="s">
        <v>745</v>
      </c>
      <c r="I56" s="208" t="s">
        <v>1230</v>
      </c>
      <c r="J56" s="206" t="s">
        <v>3506</v>
      </c>
      <c r="K56" s="216" t="s">
        <v>837</v>
      </c>
      <c r="L56" s="26" t="s">
        <v>178</v>
      </c>
      <c r="M56" s="5" t="s">
        <v>3392</v>
      </c>
      <c r="N56" s="26" t="s">
        <v>179</v>
      </c>
      <c r="O56" s="26"/>
      <c r="P56" s="26" t="s">
        <v>171</v>
      </c>
      <c r="Q56" s="259" t="s">
        <v>1565</v>
      </c>
      <c r="R56" s="259" t="s">
        <v>1566</v>
      </c>
    </row>
    <row r="57" spans="1:18" ht="87.75" customHeight="1">
      <c r="A57" s="46" t="s">
        <v>200</v>
      </c>
      <c r="B57" s="65">
        <v>4798</v>
      </c>
      <c r="C57" s="26" t="s">
        <v>201</v>
      </c>
      <c r="D57" s="26" t="s">
        <v>18</v>
      </c>
      <c r="E57" s="30" t="s">
        <v>19</v>
      </c>
      <c r="F57" s="30" t="s">
        <v>19</v>
      </c>
      <c r="G57" s="26" t="s">
        <v>202</v>
      </c>
      <c r="H57" s="26" t="s">
        <v>203</v>
      </c>
      <c r="I57" s="208" t="s">
        <v>1231</v>
      </c>
      <c r="J57" s="206" t="s">
        <v>3507</v>
      </c>
      <c r="K57" s="216" t="s">
        <v>838</v>
      </c>
      <c r="L57" s="26" t="s">
        <v>204</v>
      </c>
      <c r="M57" s="5" t="s">
        <v>3393</v>
      </c>
      <c r="N57" s="26" t="s">
        <v>205</v>
      </c>
      <c r="O57" s="26"/>
      <c r="P57" s="26"/>
      <c r="Q57" s="259" t="s">
        <v>1567</v>
      </c>
      <c r="R57" s="259" t="s">
        <v>1568</v>
      </c>
    </row>
    <row r="58" spans="1:18" ht="87.75" customHeight="1">
      <c r="A58" s="46" t="s">
        <v>200</v>
      </c>
      <c r="B58" s="65">
        <v>4799</v>
      </c>
      <c r="C58" s="26" t="s">
        <v>206</v>
      </c>
      <c r="D58" s="26" t="s">
        <v>18</v>
      </c>
      <c r="E58" s="30" t="s">
        <v>19</v>
      </c>
      <c r="F58" s="30" t="s">
        <v>19</v>
      </c>
      <c r="G58" s="26" t="s">
        <v>207</v>
      </c>
      <c r="H58" s="26" t="s">
        <v>746</v>
      </c>
      <c r="I58" s="208" t="s">
        <v>1232</v>
      </c>
      <c r="J58" s="206" t="s">
        <v>3508</v>
      </c>
      <c r="K58" s="216" t="s">
        <v>839</v>
      </c>
      <c r="L58" s="26" t="s">
        <v>208</v>
      </c>
      <c r="M58" s="5" t="s">
        <v>3394</v>
      </c>
      <c r="N58" s="26" t="s">
        <v>209</v>
      </c>
      <c r="O58" s="26"/>
      <c r="P58" s="26"/>
      <c r="Q58" s="259" t="s">
        <v>1569</v>
      </c>
      <c r="R58" s="259" t="s">
        <v>1570</v>
      </c>
    </row>
    <row r="59" spans="1:18" ht="87.75" customHeight="1">
      <c r="A59" s="46" t="s">
        <v>200</v>
      </c>
      <c r="B59" s="65">
        <v>5136</v>
      </c>
      <c r="C59" s="26" t="s">
        <v>210</v>
      </c>
      <c r="D59" s="26" t="s">
        <v>18</v>
      </c>
      <c r="E59" s="30" t="s">
        <v>19</v>
      </c>
      <c r="F59" s="30" t="s">
        <v>19</v>
      </c>
      <c r="G59" s="26" t="s">
        <v>211</v>
      </c>
      <c r="H59" s="26" t="s">
        <v>747</v>
      </c>
      <c r="I59" s="208" t="s">
        <v>1233</v>
      </c>
      <c r="J59" s="206" t="s">
        <v>3509</v>
      </c>
      <c r="K59" s="216" t="s">
        <v>828</v>
      </c>
      <c r="L59" s="26" t="s">
        <v>212</v>
      </c>
      <c r="M59" s="5" t="s">
        <v>3395</v>
      </c>
      <c r="N59" s="26" t="s">
        <v>167</v>
      </c>
      <c r="O59" s="26"/>
      <c r="P59" s="26" t="s">
        <v>124</v>
      </c>
      <c r="Q59" s="259" t="s">
        <v>1571</v>
      </c>
      <c r="R59" s="259" t="s">
        <v>1572</v>
      </c>
    </row>
    <row r="60" spans="1:18" ht="87.75" customHeight="1">
      <c r="A60" s="46" t="s">
        <v>200</v>
      </c>
      <c r="B60" s="65">
        <v>5137</v>
      </c>
      <c r="C60" s="26" t="s">
        <v>213</v>
      </c>
      <c r="D60" s="26" t="s">
        <v>18</v>
      </c>
      <c r="E60" s="30" t="s">
        <v>19</v>
      </c>
      <c r="F60" s="30" t="s">
        <v>19</v>
      </c>
      <c r="G60" s="26" t="s">
        <v>214</v>
      </c>
      <c r="H60" s="26" t="s">
        <v>215</v>
      </c>
      <c r="I60" s="208" t="s">
        <v>1234</v>
      </c>
      <c r="J60" s="206" t="s">
        <v>3510</v>
      </c>
      <c r="K60" s="216" t="s">
        <v>840</v>
      </c>
      <c r="L60" s="26" t="s">
        <v>216</v>
      </c>
      <c r="M60" s="5" t="s">
        <v>3396</v>
      </c>
      <c r="N60" s="26" t="s">
        <v>217</v>
      </c>
      <c r="O60" s="26"/>
      <c r="P60" s="26" t="s">
        <v>124</v>
      </c>
      <c r="Q60" s="259" t="s">
        <v>1573</v>
      </c>
      <c r="R60" s="259" t="s">
        <v>1574</v>
      </c>
    </row>
    <row r="61" spans="1:18" ht="87.75" customHeight="1">
      <c r="A61" s="46" t="s">
        <v>200</v>
      </c>
      <c r="B61" s="65">
        <v>5138</v>
      </c>
      <c r="C61" s="26" t="s">
        <v>748</v>
      </c>
      <c r="D61" s="26" t="s">
        <v>18</v>
      </c>
      <c r="E61" s="30" t="s">
        <v>19</v>
      </c>
      <c r="F61" s="39" t="s">
        <v>31</v>
      </c>
      <c r="G61" s="26" t="s">
        <v>749</v>
      </c>
      <c r="H61" s="26" t="s">
        <v>750</v>
      </c>
      <c r="I61" s="208" t="s">
        <v>1235</v>
      </c>
      <c r="J61" s="206" t="s">
        <v>3511</v>
      </c>
      <c r="K61" s="216" t="s">
        <v>819</v>
      </c>
      <c r="L61" s="26" t="s">
        <v>751</v>
      </c>
      <c r="M61" s="5" t="s">
        <v>3397</v>
      </c>
      <c r="N61" s="26"/>
      <c r="O61" s="26"/>
      <c r="P61" s="26" t="s">
        <v>124</v>
      </c>
      <c r="Q61" s="259" t="s">
        <v>1575</v>
      </c>
      <c r="R61" s="259" t="s">
        <v>1576</v>
      </c>
    </row>
    <row r="62" spans="1:18" ht="87.75" customHeight="1">
      <c r="A62" s="42" t="s">
        <v>180</v>
      </c>
      <c r="B62" s="65">
        <v>5142</v>
      </c>
      <c r="C62" s="26" t="s">
        <v>181</v>
      </c>
      <c r="D62" s="26" t="s">
        <v>18</v>
      </c>
      <c r="E62" s="30" t="s">
        <v>19</v>
      </c>
      <c r="F62" s="39" t="s">
        <v>31</v>
      </c>
      <c r="G62" s="26" t="s">
        <v>182</v>
      </c>
      <c r="H62" s="26" t="s">
        <v>183</v>
      </c>
      <c r="I62" s="208" t="s">
        <v>1236</v>
      </c>
      <c r="J62" s="206" t="s">
        <v>3512</v>
      </c>
      <c r="K62" s="216" t="s">
        <v>841</v>
      </c>
      <c r="L62" s="26" t="s">
        <v>184</v>
      </c>
      <c r="M62" s="5" t="s">
        <v>3398</v>
      </c>
      <c r="N62" s="26" t="s">
        <v>185</v>
      </c>
      <c r="O62" s="26"/>
      <c r="P62" s="26" t="s">
        <v>186</v>
      </c>
      <c r="Q62" s="259" t="s">
        <v>1577</v>
      </c>
      <c r="R62" s="259" t="s">
        <v>1578</v>
      </c>
    </row>
    <row r="63" spans="1:18" ht="87.75" customHeight="1">
      <c r="A63" s="37" t="s">
        <v>126</v>
      </c>
      <c r="B63" s="65">
        <v>4703</v>
      </c>
      <c r="C63" s="26" t="s">
        <v>147</v>
      </c>
      <c r="D63" s="26" t="s">
        <v>18</v>
      </c>
      <c r="E63" s="31" t="s">
        <v>20</v>
      </c>
      <c r="F63" s="39" t="s">
        <v>31</v>
      </c>
      <c r="G63" s="26" t="s">
        <v>148</v>
      </c>
      <c r="H63" s="26" t="s">
        <v>149</v>
      </c>
      <c r="I63" s="208" t="s">
        <v>1237</v>
      </c>
      <c r="J63" s="206" t="s">
        <v>3513</v>
      </c>
      <c r="K63" s="216" t="s">
        <v>842</v>
      </c>
      <c r="L63" s="26" t="s">
        <v>150</v>
      </c>
      <c r="M63" s="5" t="s">
        <v>3399</v>
      </c>
      <c r="N63" s="26" t="s">
        <v>151</v>
      </c>
      <c r="O63" s="26"/>
      <c r="P63" s="26" t="s">
        <v>152</v>
      </c>
      <c r="Q63" s="259" t="s">
        <v>1579</v>
      </c>
      <c r="R63" s="259" t="s">
        <v>1580</v>
      </c>
    </row>
    <row r="64" spans="1:18" ht="87.75" customHeight="1">
      <c r="A64" s="54" t="s">
        <v>63</v>
      </c>
      <c r="B64" s="65">
        <v>552</v>
      </c>
      <c r="C64" s="26" t="s">
        <v>64</v>
      </c>
      <c r="D64" s="26" t="s">
        <v>18</v>
      </c>
      <c r="E64" s="31" t="s">
        <v>20</v>
      </c>
      <c r="F64" s="39" t="s">
        <v>31</v>
      </c>
      <c r="G64" s="26" t="s">
        <v>65</v>
      </c>
      <c r="H64" s="26" t="s">
        <v>66</v>
      </c>
      <c r="I64" s="208" t="s">
        <v>1238</v>
      </c>
      <c r="J64" s="206" t="s">
        <v>3514</v>
      </c>
      <c r="K64" s="216" t="s">
        <v>843</v>
      </c>
      <c r="L64" s="26" t="s">
        <v>32</v>
      </c>
      <c r="M64" s="5" t="s">
        <v>3400</v>
      </c>
      <c r="N64" s="26" t="s">
        <v>67</v>
      </c>
      <c r="O64" s="26"/>
      <c r="P64" s="26" t="s">
        <v>68</v>
      </c>
      <c r="Q64" s="259" t="s">
        <v>1581</v>
      </c>
      <c r="R64" s="259" t="s">
        <v>1582</v>
      </c>
    </row>
    <row r="65" spans="1:27" ht="87.75" customHeight="1">
      <c r="A65" s="47" t="s">
        <v>228</v>
      </c>
      <c r="B65" s="65">
        <v>5031</v>
      </c>
      <c r="C65" s="26" t="s">
        <v>600</v>
      </c>
      <c r="D65" s="26" t="s">
        <v>18</v>
      </c>
      <c r="E65" s="30" t="s">
        <v>19</v>
      </c>
      <c r="F65" s="31" t="s">
        <v>20</v>
      </c>
      <c r="G65" s="26" t="s">
        <v>601</v>
      </c>
      <c r="H65" s="26" t="s">
        <v>602</v>
      </c>
      <c r="I65" s="208" t="s">
        <v>1239</v>
      </c>
      <c r="J65" s="206" t="s">
        <v>3515</v>
      </c>
      <c r="K65" s="217" t="s">
        <v>844</v>
      </c>
      <c r="L65" s="26" t="s">
        <v>603</v>
      </c>
      <c r="M65" s="25" t="s">
        <v>3401</v>
      </c>
      <c r="N65" s="26" t="s">
        <v>604</v>
      </c>
      <c r="O65" s="26"/>
      <c r="P65" s="26"/>
      <c r="Q65" s="259" t="s">
        <v>1583</v>
      </c>
      <c r="R65" s="259" t="s">
        <v>1584</v>
      </c>
    </row>
    <row r="66" spans="1:27" ht="87.75" customHeight="1">
      <c r="A66" s="40" t="s">
        <v>153</v>
      </c>
      <c r="B66" s="65">
        <v>4660</v>
      </c>
      <c r="C66" s="26" t="s">
        <v>595</v>
      </c>
      <c r="D66" s="26" t="s">
        <v>18</v>
      </c>
      <c r="E66" s="30" t="s">
        <v>19</v>
      </c>
      <c r="F66" s="31" t="s">
        <v>20</v>
      </c>
      <c r="G66" s="26" t="s">
        <v>596</v>
      </c>
      <c r="H66" s="26" t="s">
        <v>597</v>
      </c>
      <c r="I66" s="208" t="s">
        <v>1240</v>
      </c>
      <c r="J66" s="206" t="s">
        <v>3516</v>
      </c>
      <c r="K66" s="217" t="s">
        <v>845</v>
      </c>
      <c r="L66" s="26" t="s">
        <v>598</v>
      </c>
      <c r="M66" s="24" t="s">
        <v>3402</v>
      </c>
      <c r="N66" s="26" t="s">
        <v>599</v>
      </c>
      <c r="O66" s="26"/>
      <c r="P66" s="26"/>
      <c r="Q66" s="259" t="s">
        <v>1585</v>
      </c>
      <c r="R66" s="259" t="s">
        <v>1586</v>
      </c>
    </row>
    <row r="67" spans="1:27" s="26" customFormat="1" ht="80.25" customHeight="1">
      <c r="A67" s="41" t="s">
        <v>168</v>
      </c>
      <c r="B67" s="65">
        <v>4904</v>
      </c>
      <c r="C67" s="26" t="s">
        <v>752</v>
      </c>
      <c r="D67" s="26" t="s">
        <v>18</v>
      </c>
      <c r="E67" s="31" t="s">
        <v>20</v>
      </c>
      <c r="F67" s="39" t="s">
        <v>31</v>
      </c>
      <c r="G67" s="43" t="s">
        <v>582</v>
      </c>
      <c r="H67" s="44" t="s">
        <v>583</v>
      </c>
      <c r="I67" s="208" t="s">
        <v>1241</v>
      </c>
      <c r="J67" s="206" t="s">
        <v>3517</v>
      </c>
      <c r="K67" s="217" t="s">
        <v>846</v>
      </c>
      <c r="L67" s="26" t="s">
        <v>753</v>
      </c>
      <c r="M67" s="24" t="s">
        <v>3403</v>
      </c>
      <c r="P67" s="26" t="s">
        <v>584</v>
      </c>
      <c r="Q67" s="205" t="s">
        <v>1587</v>
      </c>
      <c r="R67" s="205" t="s">
        <v>1588</v>
      </c>
      <c r="S67" s="27"/>
      <c r="T67" s="27"/>
      <c r="U67" s="27"/>
      <c r="V67" s="27"/>
      <c r="W67" s="27"/>
      <c r="X67" s="27"/>
      <c r="Y67" s="27"/>
      <c r="Z67" s="27"/>
      <c r="AA67" s="27"/>
    </row>
    <row r="68" spans="1:27" s="26" customFormat="1" ht="58.5" customHeight="1">
      <c r="A68" s="41" t="s">
        <v>168</v>
      </c>
      <c r="B68" s="65">
        <v>4906</v>
      </c>
      <c r="C68" s="26" t="s">
        <v>585</v>
      </c>
      <c r="D68" s="26" t="s">
        <v>18</v>
      </c>
      <c r="E68" s="30" t="s">
        <v>19</v>
      </c>
      <c r="F68" s="39" t="s">
        <v>89</v>
      </c>
      <c r="G68" s="26" t="s">
        <v>1100</v>
      </c>
      <c r="H68" s="26" t="s">
        <v>587</v>
      </c>
      <c r="I68" s="208" t="s">
        <v>1242</v>
      </c>
      <c r="J68" s="206" t="s">
        <v>3518</v>
      </c>
      <c r="K68" s="217" t="s">
        <v>846</v>
      </c>
      <c r="L68" s="26" t="s">
        <v>588</v>
      </c>
      <c r="M68" s="24" t="s">
        <v>3404</v>
      </c>
      <c r="N68" s="26" t="s">
        <v>589</v>
      </c>
      <c r="P68" s="26" t="s">
        <v>171</v>
      </c>
      <c r="Q68" s="205" t="s">
        <v>1589</v>
      </c>
      <c r="R68" s="205" t="s">
        <v>1590</v>
      </c>
      <c r="S68" s="27"/>
      <c r="T68" s="27"/>
      <c r="U68" s="27"/>
      <c r="V68" s="27"/>
      <c r="W68" s="27"/>
      <c r="X68" s="27"/>
      <c r="Y68" s="27"/>
      <c r="Z68" s="27"/>
      <c r="AA68" s="27"/>
    </row>
    <row r="69" spans="1:27" s="26" customFormat="1" ht="58.5" customHeight="1">
      <c r="A69" s="41" t="s">
        <v>168</v>
      </c>
      <c r="B69" s="65">
        <v>4907</v>
      </c>
      <c r="C69" s="26" t="s">
        <v>590</v>
      </c>
      <c r="D69" s="26" t="s">
        <v>18</v>
      </c>
      <c r="E69" s="31" t="s">
        <v>20</v>
      </c>
      <c r="F69" s="39" t="s">
        <v>31</v>
      </c>
      <c r="G69" s="26" t="s">
        <v>591</v>
      </c>
      <c r="H69" s="26" t="s">
        <v>592</v>
      </c>
      <c r="I69" s="208" t="s">
        <v>1243</v>
      </c>
      <c r="J69" s="206" t="s">
        <v>3519</v>
      </c>
      <c r="K69" s="217" t="s">
        <v>846</v>
      </c>
      <c r="L69" s="26" t="s">
        <v>593</v>
      </c>
      <c r="M69" s="24" t="s">
        <v>3405</v>
      </c>
      <c r="N69" s="26" t="s">
        <v>594</v>
      </c>
      <c r="P69" s="26" t="s">
        <v>584</v>
      </c>
      <c r="Q69" s="205" t="s">
        <v>1591</v>
      </c>
      <c r="R69" s="205" t="s">
        <v>1592</v>
      </c>
      <c r="S69" s="27"/>
      <c r="T69" s="27"/>
      <c r="U69" s="27"/>
      <c r="V69" s="27"/>
      <c r="W69" s="27"/>
      <c r="X69" s="27"/>
      <c r="Y69" s="27"/>
      <c r="Z69" s="27"/>
      <c r="AA69" s="27"/>
    </row>
    <row r="70" spans="1:27" s="26" customFormat="1" ht="58.5" customHeight="1">
      <c r="A70" s="58" t="s">
        <v>605</v>
      </c>
      <c r="B70" s="66">
        <v>261</v>
      </c>
      <c r="C70" s="26" t="s">
        <v>612</v>
      </c>
      <c r="D70" s="26" t="s">
        <v>607</v>
      </c>
      <c r="E70" s="31" t="s">
        <v>20</v>
      </c>
      <c r="F70" s="31" t="s">
        <v>20</v>
      </c>
      <c r="G70" s="26" t="s">
        <v>652</v>
      </c>
      <c r="H70" s="26" t="s">
        <v>653</v>
      </c>
      <c r="I70" s="208" t="s">
        <v>1244</v>
      </c>
      <c r="J70" s="206" t="s">
        <v>3520</v>
      </c>
      <c r="K70" s="217" t="s">
        <v>847</v>
      </c>
      <c r="L70" s="26" t="s">
        <v>613</v>
      </c>
      <c r="M70" s="24" t="s">
        <v>1721</v>
      </c>
      <c r="N70" s="26" t="s">
        <v>614</v>
      </c>
      <c r="O70" s="26" t="s">
        <v>615</v>
      </c>
      <c r="P70" s="26" t="s">
        <v>654</v>
      </c>
      <c r="Q70" s="205" t="s">
        <v>1593</v>
      </c>
      <c r="R70" s="205" t="s">
        <v>1594</v>
      </c>
      <c r="S70" s="27"/>
      <c r="T70" s="27"/>
      <c r="U70" s="27"/>
      <c r="V70" s="27"/>
      <c r="W70" s="27"/>
      <c r="X70" s="27"/>
      <c r="Y70" s="27"/>
      <c r="Z70" s="27"/>
      <c r="AA70" s="27"/>
    </row>
    <row r="71" spans="1:27" s="26" customFormat="1" ht="58.5" customHeight="1">
      <c r="A71" s="58" t="s">
        <v>605</v>
      </c>
      <c r="B71" s="66">
        <v>258</v>
      </c>
      <c r="C71" s="26" t="s">
        <v>616</v>
      </c>
      <c r="D71" s="26" t="s">
        <v>607</v>
      </c>
      <c r="E71" s="30" t="s">
        <v>19</v>
      </c>
      <c r="F71" s="39" t="s">
        <v>31</v>
      </c>
      <c r="G71" s="26" t="s">
        <v>617</v>
      </c>
      <c r="H71" s="26" t="s">
        <v>618</v>
      </c>
      <c r="I71" s="208" t="s">
        <v>1245</v>
      </c>
      <c r="J71" s="206" t="s">
        <v>3521</v>
      </c>
      <c r="K71" s="217" t="s">
        <v>848</v>
      </c>
      <c r="L71" s="26" t="s">
        <v>619</v>
      </c>
      <c r="M71" s="24" t="s">
        <v>1721</v>
      </c>
      <c r="N71" s="26" t="s">
        <v>620</v>
      </c>
      <c r="O71" s="26" t="s">
        <v>655</v>
      </c>
      <c r="P71" s="26" t="s">
        <v>656</v>
      </c>
      <c r="Q71" s="205" t="s">
        <v>1595</v>
      </c>
      <c r="R71" s="205" t="s">
        <v>1596</v>
      </c>
      <c r="S71" s="27"/>
      <c r="T71" s="27"/>
      <c r="U71" s="27"/>
      <c r="V71" s="27"/>
      <c r="W71" s="27"/>
      <c r="X71" s="27"/>
      <c r="Y71" s="27"/>
      <c r="Z71" s="27"/>
      <c r="AA71" s="27"/>
    </row>
    <row r="72" spans="1:27" s="26" customFormat="1" ht="58.5" customHeight="1">
      <c r="A72" s="58" t="s">
        <v>605</v>
      </c>
      <c r="B72" s="66">
        <v>263</v>
      </c>
      <c r="C72" s="26" t="s">
        <v>621</v>
      </c>
      <c r="D72" s="26" t="s">
        <v>607</v>
      </c>
      <c r="E72" s="39" t="s">
        <v>31</v>
      </c>
      <c r="F72" s="30" t="s">
        <v>19</v>
      </c>
      <c r="G72" s="26" t="s">
        <v>622</v>
      </c>
      <c r="H72" s="26" t="s">
        <v>623</v>
      </c>
      <c r="I72" s="208" t="s">
        <v>624</v>
      </c>
      <c r="J72" s="206" t="s">
        <v>3522</v>
      </c>
      <c r="K72" s="210" t="s">
        <v>815</v>
      </c>
      <c r="L72" s="26" t="s">
        <v>625</v>
      </c>
      <c r="M72" s="24" t="s">
        <v>1721</v>
      </c>
      <c r="N72" s="26" t="s">
        <v>626</v>
      </c>
      <c r="O72" s="26" t="s">
        <v>657</v>
      </c>
      <c r="P72" s="26" t="s">
        <v>657</v>
      </c>
      <c r="Q72" s="205" t="s">
        <v>1597</v>
      </c>
      <c r="R72" s="205" t="s">
        <v>1598</v>
      </c>
      <c r="S72" s="27"/>
      <c r="T72" s="27"/>
      <c r="U72" s="27"/>
      <c r="V72" s="27"/>
      <c r="W72" s="27"/>
      <c r="X72" s="27"/>
      <c r="Y72" s="27"/>
      <c r="Z72" s="27"/>
      <c r="AA72" s="27"/>
    </row>
    <row r="73" spans="1:27" s="26" customFormat="1" ht="58.5" customHeight="1">
      <c r="A73" s="58" t="s">
        <v>605</v>
      </c>
      <c r="B73" s="66">
        <v>1155</v>
      </c>
      <c r="C73" s="26" t="s">
        <v>627</v>
      </c>
      <c r="D73" s="26" t="s">
        <v>607</v>
      </c>
      <c r="E73" s="39" t="s">
        <v>31</v>
      </c>
      <c r="F73" s="39" t="s">
        <v>31</v>
      </c>
      <c r="G73" s="26" t="s">
        <v>628</v>
      </c>
      <c r="H73" s="26" t="s">
        <v>629</v>
      </c>
      <c r="I73" s="208" t="s">
        <v>630</v>
      </c>
      <c r="J73" s="206" t="s">
        <v>3523</v>
      </c>
      <c r="K73" s="210" t="s">
        <v>815</v>
      </c>
      <c r="L73" s="26" t="s">
        <v>631</v>
      </c>
      <c r="M73" s="24" t="s">
        <v>1722</v>
      </c>
      <c r="N73" s="26" t="s">
        <v>632</v>
      </c>
      <c r="O73" s="26" t="s">
        <v>657</v>
      </c>
      <c r="P73" s="26" t="s">
        <v>657</v>
      </c>
      <c r="Q73" s="205" t="s">
        <v>1599</v>
      </c>
      <c r="R73" s="205" t="s">
        <v>1600</v>
      </c>
      <c r="S73" s="27"/>
      <c r="T73" s="27"/>
      <c r="U73" s="27"/>
      <c r="V73" s="27"/>
      <c r="W73" s="27"/>
      <c r="X73" s="27"/>
      <c r="Y73" s="27"/>
      <c r="Z73" s="27"/>
      <c r="AA73" s="27"/>
    </row>
    <row r="74" spans="1:27" s="26" customFormat="1" ht="58.5" customHeight="1">
      <c r="A74" s="58" t="s">
        <v>605</v>
      </c>
      <c r="B74" s="66">
        <v>20523</v>
      </c>
      <c r="C74" s="26" t="s">
        <v>658</v>
      </c>
      <c r="D74" s="26" t="s">
        <v>607</v>
      </c>
      <c r="E74" s="39" t="s">
        <v>31</v>
      </c>
      <c r="F74" s="39" t="s">
        <v>31</v>
      </c>
      <c r="G74" s="26" t="s">
        <v>633</v>
      </c>
      <c r="H74" s="26" t="s">
        <v>634</v>
      </c>
      <c r="I74" s="208" t="s">
        <v>630</v>
      </c>
      <c r="J74" s="206" t="s">
        <v>3524</v>
      </c>
      <c r="K74" s="210" t="s">
        <v>815</v>
      </c>
      <c r="L74" s="26" t="s">
        <v>635</v>
      </c>
      <c r="M74" s="24" t="s">
        <v>1722</v>
      </c>
      <c r="N74" s="26" t="s">
        <v>636</v>
      </c>
      <c r="O74" s="26" t="s">
        <v>657</v>
      </c>
      <c r="P74" s="26" t="s">
        <v>657</v>
      </c>
      <c r="Q74" s="205" t="s">
        <v>1601</v>
      </c>
      <c r="R74" s="205" t="s">
        <v>1602</v>
      </c>
      <c r="S74" s="27"/>
      <c r="T74" s="27"/>
      <c r="U74" s="27"/>
      <c r="V74" s="27"/>
      <c r="W74" s="27"/>
      <c r="X74" s="27"/>
      <c r="Y74" s="27"/>
      <c r="Z74" s="27"/>
      <c r="AA74" s="27"/>
    </row>
    <row r="75" spans="1:27" ht="134.25" customHeight="1">
      <c r="A75" s="58" t="s">
        <v>605</v>
      </c>
      <c r="B75" s="66">
        <v>1143</v>
      </c>
      <c r="C75" s="26" t="s">
        <v>659</v>
      </c>
      <c r="D75" s="26" t="s">
        <v>607</v>
      </c>
      <c r="E75" s="30" t="s">
        <v>19</v>
      </c>
      <c r="F75" s="39" t="s">
        <v>31</v>
      </c>
      <c r="G75" s="26" t="s">
        <v>637</v>
      </c>
      <c r="H75" s="26" t="s">
        <v>638</v>
      </c>
      <c r="I75" s="208" t="s">
        <v>1246</v>
      </c>
      <c r="J75" s="206" t="s">
        <v>3525</v>
      </c>
      <c r="K75" s="217" t="s">
        <v>849</v>
      </c>
      <c r="L75" s="26" t="s">
        <v>639</v>
      </c>
      <c r="M75" s="24" t="s">
        <v>1723</v>
      </c>
      <c r="N75" s="26" t="s">
        <v>640</v>
      </c>
      <c r="O75" s="26" t="s">
        <v>641</v>
      </c>
      <c r="P75" s="26" t="s">
        <v>660</v>
      </c>
      <c r="Q75" s="205" t="s">
        <v>1603</v>
      </c>
      <c r="R75" s="205" t="s">
        <v>1604</v>
      </c>
    </row>
    <row r="76" spans="1:27" ht="87.75" customHeight="1">
      <c r="A76" s="58" t="s">
        <v>605</v>
      </c>
      <c r="B76" s="66">
        <v>1136</v>
      </c>
      <c r="C76" s="26" t="s">
        <v>642</v>
      </c>
      <c r="D76" s="26" t="s">
        <v>607</v>
      </c>
      <c r="E76" s="56" t="s">
        <v>643</v>
      </c>
      <c r="F76" s="39" t="s">
        <v>31</v>
      </c>
      <c r="G76" s="26" t="s">
        <v>644</v>
      </c>
      <c r="H76" s="26" t="s">
        <v>645</v>
      </c>
      <c r="I76" s="208" t="s">
        <v>646</v>
      </c>
      <c r="J76" s="206" t="s">
        <v>3526</v>
      </c>
      <c r="K76" s="210" t="s">
        <v>815</v>
      </c>
      <c r="L76" s="26" t="s">
        <v>647</v>
      </c>
      <c r="M76" s="24" t="s">
        <v>1722</v>
      </c>
      <c r="N76" s="26" t="s">
        <v>648</v>
      </c>
      <c r="O76" s="26" t="s">
        <v>649</v>
      </c>
      <c r="P76" s="26" t="s">
        <v>661</v>
      </c>
      <c r="Q76" s="205" t="s">
        <v>1605</v>
      </c>
      <c r="R76" s="205" t="s">
        <v>1606</v>
      </c>
    </row>
    <row r="77" spans="1:27" ht="87.75" customHeight="1">
      <c r="A77" s="26" t="s">
        <v>1112</v>
      </c>
      <c r="B77" s="66">
        <v>4611</v>
      </c>
      <c r="C77" s="26" t="s">
        <v>755</v>
      </c>
      <c r="D77" s="26" t="s">
        <v>18</v>
      </c>
      <c r="E77" s="31" t="s">
        <v>20</v>
      </c>
      <c r="F77" s="30" t="s">
        <v>19</v>
      </c>
      <c r="G77" s="26" t="s">
        <v>779</v>
      </c>
      <c r="H77" s="26" t="s">
        <v>855</v>
      </c>
      <c r="I77" s="208" t="s">
        <v>1247</v>
      </c>
      <c r="J77" s="206" t="s">
        <v>3527</v>
      </c>
      <c r="K77" s="217" t="s">
        <v>850</v>
      </c>
      <c r="L77" s="26" t="s">
        <v>856</v>
      </c>
      <c r="M77" s="74" t="s">
        <v>3406</v>
      </c>
      <c r="N77" s="26" t="s">
        <v>1271</v>
      </c>
      <c r="O77" s="26"/>
      <c r="P77" s="26"/>
      <c r="Q77" s="259" t="s">
        <v>1607</v>
      </c>
      <c r="R77" s="259" t="s">
        <v>1608</v>
      </c>
    </row>
    <row r="78" spans="1:27" ht="87.75" customHeight="1">
      <c r="A78" s="26" t="s">
        <v>1113</v>
      </c>
      <c r="B78" s="66">
        <v>4665</v>
      </c>
      <c r="C78" s="26" t="s">
        <v>756</v>
      </c>
      <c r="D78" s="26" t="s">
        <v>18</v>
      </c>
      <c r="E78" s="31" t="s">
        <v>20</v>
      </c>
      <c r="F78" s="30" t="s">
        <v>19</v>
      </c>
      <c r="G78" s="26" t="s">
        <v>857</v>
      </c>
      <c r="H78" s="26" t="s">
        <v>1132</v>
      </c>
      <c r="I78" s="208" t="s">
        <v>1248</v>
      </c>
      <c r="J78" s="206" t="s">
        <v>3528</v>
      </c>
      <c r="K78" s="217" t="s">
        <v>842</v>
      </c>
      <c r="L78" s="26" t="s">
        <v>858</v>
      </c>
      <c r="M78" s="74" t="s">
        <v>3407</v>
      </c>
      <c r="N78" s="26" t="s">
        <v>1272</v>
      </c>
      <c r="O78" s="26"/>
      <c r="P78" s="26"/>
      <c r="Q78" s="259" t="s">
        <v>1609</v>
      </c>
      <c r="R78" s="259" t="s">
        <v>1610</v>
      </c>
    </row>
    <row r="79" spans="1:27" ht="87.75" customHeight="1">
      <c r="A79" s="26" t="s">
        <v>1114</v>
      </c>
      <c r="B79" s="66">
        <v>4690</v>
      </c>
      <c r="C79" s="26" t="s">
        <v>757</v>
      </c>
      <c r="D79" s="26" t="s">
        <v>18</v>
      </c>
      <c r="E79" s="31" t="s">
        <v>20</v>
      </c>
      <c r="F79" s="30" t="s">
        <v>19</v>
      </c>
      <c r="G79" s="26" t="s">
        <v>780</v>
      </c>
      <c r="H79" s="26" t="s">
        <v>1133</v>
      </c>
      <c r="I79" s="208" t="s">
        <v>1249</v>
      </c>
      <c r="J79" s="206" t="s">
        <v>3529</v>
      </c>
      <c r="K79" s="217" t="s">
        <v>853</v>
      </c>
      <c r="L79" s="26" t="s">
        <v>859</v>
      </c>
      <c r="M79" s="74" t="s">
        <v>3408</v>
      </c>
      <c r="N79" s="26" t="s">
        <v>1273</v>
      </c>
      <c r="O79" s="26"/>
      <c r="P79" s="26"/>
      <c r="Q79" s="259" t="s">
        <v>1611</v>
      </c>
      <c r="R79" s="259" t="s">
        <v>1612</v>
      </c>
    </row>
    <row r="80" spans="1:27" ht="87.75" customHeight="1">
      <c r="A80" s="26" t="s">
        <v>1115</v>
      </c>
      <c r="B80" s="66">
        <v>4696</v>
      </c>
      <c r="C80" s="26" t="s">
        <v>758</v>
      </c>
      <c r="D80" s="26" t="s">
        <v>18</v>
      </c>
      <c r="E80" s="31" t="s">
        <v>20</v>
      </c>
      <c r="F80" s="30" t="s">
        <v>19</v>
      </c>
      <c r="G80" s="26" t="s">
        <v>781</v>
      </c>
      <c r="H80" s="26" t="s">
        <v>1134</v>
      </c>
      <c r="I80" s="208" t="s">
        <v>1250</v>
      </c>
      <c r="J80" s="206" t="s">
        <v>3530</v>
      </c>
      <c r="K80" s="217" t="s">
        <v>842</v>
      </c>
      <c r="L80" s="26" t="s">
        <v>860</v>
      </c>
      <c r="M80" s="74" t="s">
        <v>3409</v>
      </c>
      <c r="N80" s="26" t="s">
        <v>1274</v>
      </c>
      <c r="O80" s="26"/>
      <c r="P80" s="26"/>
      <c r="Q80" s="259" t="s">
        <v>1613</v>
      </c>
      <c r="R80" s="259" t="s">
        <v>1614</v>
      </c>
    </row>
    <row r="81" spans="1:18" ht="87.75" customHeight="1">
      <c r="A81" s="26" t="s">
        <v>1116</v>
      </c>
      <c r="B81" s="66">
        <v>4723</v>
      </c>
      <c r="C81" s="26" t="s">
        <v>759</v>
      </c>
      <c r="D81" s="26" t="s">
        <v>18</v>
      </c>
      <c r="E81" s="31" t="s">
        <v>20</v>
      </c>
      <c r="F81" s="30" t="s">
        <v>19</v>
      </c>
      <c r="G81" s="26" t="s">
        <v>782</v>
      </c>
      <c r="H81" s="26" t="s">
        <v>862</v>
      </c>
      <c r="I81" s="208" t="s">
        <v>1251</v>
      </c>
      <c r="J81" s="206" t="s">
        <v>3531</v>
      </c>
      <c r="K81" s="217" t="s">
        <v>822</v>
      </c>
      <c r="L81" s="26" t="s">
        <v>861</v>
      </c>
      <c r="M81" s="74" t="s">
        <v>3410</v>
      </c>
      <c r="N81" s="26" t="s">
        <v>1275</v>
      </c>
      <c r="O81" s="26"/>
      <c r="P81" s="26"/>
      <c r="Q81" s="259" t="s">
        <v>1615</v>
      </c>
      <c r="R81" s="259" t="s">
        <v>1616</v>
      </c>
    </row>
    <row r="82" spans="1:18" ht="87.75" customHeight="1">
      <c r="A82" s="26" t="s">
        <v>1117</v>
      </c>
      <c r="B82" s="66">
        <v>4897</v>
      </c>
      <c r="C82" s="26" t="s">
        <v>760</v>
      </c>
      <c r="D82" s="26" t="s">
        <v>18</v>
      </c>
      <c r="E82" s="31" t="s">
        <v>20</v>
      </c>
      <c r="F82" s="30" t="s">
        <v>19</v>
      </c>
      <c r="G82" s="26" t="s">
        <v>783</v>
      </c>
      <c r="H82" s="26" t="s">
        <v>1135</v>
      </c>
      <c r="I82" s="208" t="s">
        <v>1252</v>
      </c>
      <c r="J82" s="206" t="s">
        <v>3532</v>
      </c>
      <c r="K82" s="217" t="s">
        <v>854</v>
      </c>
      <c r="L82" s="26" t="s">
        <v>863</v>
      </c>
      <c r="M82" s="74" t="s">
        <v>3411</v>
      </c>
      <c r="N82" s="26" t="s">
        <v>1276</v>
      </c>
      <c r="O82" s="26"/>
      <c r="P82" s="26"/>
      <c r="Q82" s="259" t="s">
        <v>1617</v>
      </c>
      <c r="R82" s="259" t="s">
        <v>1618</v>
      </c>
    </row>
    <row r="83" spans="1:18" ht="87.75" customHeight="1">
      <c r="A83" s="26" t="s">
        <v>1118</v>
      </c>
      <c r="B83" s="66">
        <v>4626</v>
      </c>
      <c r="C83" s="26" t="s">
        <v>761</v>
      </c>
      <c r="D83" s="26" t="s">
        <v>18</v>
      </c>
      <c r="E83" s="30" t="s">
        <v>19</v>
      </c>
      <c r="F83" s="30" t="s">
        <v>19</v>
      </c>
      <c r="G83" s="26" t="s">
        <v>1098</v>
      </c>
      <c r="H83" s="26" t="s">
        <v>1136</v>
      </c>
      <c r="I83" s="208"/>
      <c r="J83" s="206" t="s">
        <v>3533</v>
      </c>
      <c r="K83" s="217" t="s">
        <v>823</v>
      </c>
      <c r="L83" s="26" t="s">
        <v>864</v>
      </c>
      <c r="M83" s="74" t="s">
        <v>3412</v>
      </c>
      <c r="N83" s="26" t="s">
        <v>1277</v>
      </c>
      <c r="O83" s="26"/>
      <c r="P83" s="26"/>
      <c r="Q83" s="259" t="s">
        <v>1619</v>
      </c>
      <c r="R83" s="259" t="s">
        <v>1620</v>
      </c>
    </row>
    <row r="84" spans="1:18" ht="87.75" customHeight="1">
      <c r="A84" s="26" t="s">
        <v>1119</v>
      </c>
      <c r="B84" s="66">
        <v>4627</v>
      </c>
      <c r="C84" s="26" t="s">
        <v>762</v>
      </c>
      <c r="D84" s="26" t="s">
        <v>18</v>
      </c>
      <c r="E84" s="30" t="s">
        <v>19</v>
      </c>
      <c r="F84" s="30" t="s">
        <v>19</v>
      </c>
      <c r="G84" s="26" t="s">
        <v>784</v>
      </c>
      <c r="H84" s="26" t="s">
        <v>1137</v>
      </c>
      <c r="I84" s="208" t="s">
        <v>1253</v>
      </c>
      <c r="J84" s="206" t="s">
        <v>3534</v>
      </c>
      <c r="K84" s="217" t="s">
        <v>823</v>
      </c>
      <c r="L84" s="26" t="s">
        <v>865</v>
      </c>
      <c r="M84" s="74" t="s">
        <v>3413</v>
      </c>
      <c r="N84" s="26" t="s">
        <v>1278</v>
      </c>
      <c r="O84" s="26"/>
      <c r="P84" s="26"/>
      <c r="Q84" s="259" t="s">
        <v>1621</v>
      </c>
      <c r="R84" s="259" t="s">
        <v>1622</v>
      </c>
    </row>
    <row r="85" spans="1:18" ht="87.75" customHeight="1">
      <c r="A85" s="26" t="s">
        <v>1120</v>
      </c>
      <c r="B85" s="66">
        <v>4674</v>
      </c>
      <c r="C85" s="26" t="s">
        <v>763</v>
      </c>
      <c r="D85" s="26" t="s">
        <v>18</v>
      </c>
      <c r="E85" s="30" t="s">
        <v>19</v>
      </c>
      <c r="F85" s="30" t="s">
        <v>19</v>
      </c>
      <c r="G85" s="26" t="s">
        <v>785</v>
      </c>
      <c r="H85" s="26" t="s">
        <v>1138</v>
      </c>
      <c r="I85" s="208" t="s">
        <v>1254</v>
      </c>
      <c r="J85" s="206" t="s">
        <v>3535</v>
      </c>
      <c r="K85" s="217" t="s">
        <v>829</v>
      </c>
      <c r="L85" s="26" t="s">
        <v>866</v>
      </c>
      <c r="M85" s="74" t="s">
        <v>3414</v>
      </c>
      <c r="N85" s="26" t="s">
        <v>1279</v>
      </c>
      <c r="O85" s="26"/>
      <c r="P85" s="26" t="s">
        <v>1168</v>
      </c>
      <c r="Q85" s="259" t="s">
        <v>1623</v>
      </c>
      <c r="R85" s="259" t="s">
        <v>1624</v>
      </c>
    </row>
    <row r="86" spans="1:18" ht="87.75" customHeight="1">
      <c r="A86" s="26" t="s">
        <v>1121</v>
      </c>
      <c r="B86" s="66">
        <v>4717</v>
      </c>
      <c r="C86" s="26" t="s">
        <v>764</v>
      </c>
      <c r="D86" s="26" t="s">
        <v>18</v>
      </c>
      <c r="E86" s="30" t="s">
        <v>19</v>
      </c>
      <c r="F86" s="30" t="s">
        <v>19</v>
      </c>
      <c r="G86" s="26" t="s">
        <v>786</v>
      </c>
      <c r="H86" s="26" t="s">
        <v>1139</v>
      </c>
      <c r="I86" s="208" t="s">
        <v>1255</v>
      </c>
      <c r="J86" s="206" t="s">
        <v>3536</v>
      </c>
      <c r="K86" s="217" t="s">
        <v>822</v>
      </c>
      <c r="L86" s="26" t="s">
        <v>867</v>
      </c>
      <c r="M86" s="74" t="s">
        <v>3415</v>
      </c>
      <c r="N86" s="26" t="s">
        <v>1280</v>
      </c>
      <c r="O86" s="26"/>
      <c r="P86" s="26" t="s">
        <v>1169</v>
      </c>
      <c r="Q86" s="259" t="s">
        <v>1625</v>
      </c>
      <c r="R86" s="259" t="s">
        <v>1626</v>
      </c>
    </row>
    <row r="87" spans="1:18" ht="87.75" customHeight="1">
      <c r="A87" s="26" t="s">
        <v>1121</v>
      </c>
      <c r="B87" s="66">
        <v>4718</v>
      </c>
      <c r="C87" s="26" t="s">
        <v>765</v>
      </c>
      <c r="D87" s="26" t="s">
        <v>18</v>
      </c>
      <c r="E87" s="30" t="s">
        <v>19</v>
      </c>
      <c r="F87" s="30" t="s">
        <v>19</v>
      </c>
      <c r="G87" s="26" t="s">
        <v>1108</v>
      </c>
      <c r="H87" s="26" t="s">
        <v>1140</v>
      </c>
      <c r="I87" s="208" t="s">
        <v>1256</v>
      </c>
      <c r="J87" s="206" t="s">
        <v>3537</v>
      </c>
      <c r="K87" s="217" t="s">
        <v>822</v>
      </c>
      <c r="L87" s="26" t="s">
        <v>868</v>
      </c>
      <c r="M87" s="74" t="s">
        <v>3416</v>
      </c>
      <c r="N87" s="26" t="s">
        <v>1281</v>
      </c>
      <c r="O87" s="26"/>
      <c r="P87" s="26" t="s">
        <v>1170</v>
      </c>
      <c r="Q87" s="259" t="s">
        <v>1627</v>
      </c>
      <c r="R87" s="259" t="s">
        <v>1628</v>
      </c>
    </row>
    <row r="88" spans="1:18" ht="87.75" customHeight="1">
      <c r="A88" s="26" t="s">
        <v>1122</v>
      </c>
      <c r="B88" s="66">
        <v>4733</v>
      </c>
      <c r="C88" s="26" t="s">
        <v>788</v>
      </c>
      <c r="D88" s="26" t="s">
        <v>18</v>
      </c>
      <c r="E88" s="30" t="s">
        <v>19</v>
      </c>
      <c r="F88" s="30" t="s">
        <v>19</v>
      </c>
      <c r="G88" s="26" t="s">
        <v>787</v>
      </c>
      <c r="H88" s="26" t="s">
        <v>1141</v>
      </c>
      <c r="I88" s="208" t="s">
        <v>1257</v>
      </c>
      <c r="J88" s="206" t="s">
        <v>3538</v>
      </c>
      <c r="K88" s="217" t="s">
        <v>1109</v>
      </c>
      <c r="L88" s="26" t="s">
        <v>869</v>
      </c>
      <c r="M88" s="74" t="s">
        <v>3417</v>
      </c>
      <c r="N88" s="26" t="s">
        <v>1282</v>
      </c>
      <c r="O88" s="26"/>
      <c r="P88" s="26" t="s">
        <v>1171</v>
      </c>
      <c r="Q88" s="259" t="s">
        <v>1629</v>
      </c>
      <c r="R88" s="259" t="s">
        <v>1630</v>
      </c>
    </row>
    <row r="89" spans="1:18" ht="87.75" customHeight="1">
      <c r="A89" s="26" t="s">
        <v>1123</v>
      </c>
      <c r="B89" s="66">
        <v>4741</v>
      </c>
      <c r="C89" s="26" t="s">
        <v>766</v>
      </c>
      <c r="D89" s="26" t="s">
        <v>18</v>
      </c>
      <c r="E89" s="30" t="s">
        <v>19</v>
      </c>
      <c r="F89" s="30" t="s">
        <v>19</v>
      </c>
      <c r="G89" s="26" t="s">
        <v>789</v>
      </c>
      <c r="H89" s="26" t="s">
        <v>1142</v>
      </c>
      <c r="I89" s="208" t="s">
        <v>1258</v>
      </c>
      <c r="J89" s="206" t="s">
        <v>3539</v>
      </c>
      <c r="K89" s="217" t="s">
        <v>851</v>
      </c>
      <c r="L89" s="72" t="s">
        <v>882</v>
      </c>
      <c r="M89" s="74" t="s">
        <v>3418</v>
      </c>
      <c r="N89" s="26" t="s">
        <v>1283</v>
      </c>
      <c r="O89" s="26"/>
      <c r="P89" s="26" t="s">
        <v>1172</v>
      </c>
      <c r="Q89" s="259" t="s">
        <v>1631</v>
      </c>
      <c r="R89" s="259" t="s">
        <v>1632</v>
      </c>
    </row>
    <row r="90" spans="1:18" ht="87.75" customHeight="1">
      <c r="A90" s="26" t="s">
        <v>1123</v>
      </c>
      <c r="B90" s="66">
        <v>4743</v>
      </c>
      <c r="C90" s="26" t="s">
        <v>767</v>
      </c>
      <c r="D90" s="26" t="s">
        <v>18</v>
      </c>
      <c r="E90" s="30" t="s">
        <v>19</v>
      </c>
      <c r="F90" s="30" t="s">
        <v>19</v>
      </c>
      <c r="G90" s="26" t="s">
        <v>1101</v>
      </c>
      <c r="H90" s="26" t="s">
        <v>1143</v>
      </c>
      <c r="I90" s="208" t="s">
        <v>1259</v>
      </c>
      <c r="J90" s="206" t="s">
        <v>3540</v>
      </c>
      <c r="K90" s="217" t="s">
        <v>819</v>
      </c>
      <c r="L90" s="26" t="s">
        <v>870</v>
      </c>
      <c r="M90" s="74" t="s">
        <v>3419</v>
      </c>
      <c r="N90" s="26" t="s">
        <v>1102</v>
      </c>
      <c r="O90" s="26"/>
      <c r="P90" s="26" t="s">
        <v>1103</v>
      </c>
      <c r="Q90" s="259" t="s">
        <v>1633</v>
      </c>
      <c r="R90" s="259" t="s">
        <v>1634</v>
      </c>
    </row>
    <row r="91" spans="1:18" ht="87.75" customHeight="1">
      <c r="A91" s="26" t="s">
        <v>1116</v>
      </c>
      <c r="B91" s="66">
        <v>4794</v>
      </c>
      <c r="C91" s="26" t="s">
        <v>768</v>
      </c>
      <c r="D91" s="26" t="s">
        <v>18</v>
      </c>
      <c r="E91" s="30" t="s">
        <v>19</v>
      </c>
      <c r="F91" s="30" t="s">
        <v>19</v>
      </c>
      <c r="G91" s="26" t="s">
        <v>790</v>
      </c>
      <c r="H91" s="26" t="s">
        <v>791</v>
      </c>
      <c r="I91" s="208" t="s">
        <v>1260</v>
      </c>
      <c r="J91" s="206" t="s">
        <v>3541</v>
      </c>
      <c r="K91" s="217" t="s">
        <v>822</v>
      </c>
      <c r="L91" s="26" t="s">
        <v>871</v>
      </c>
      <c r="M91" s="74" t="s">
        <v>3420</v>
      </c>
      <c r="N91" s="26" t="s">
        <v>1284</v>
      </c>
      <c r="O91" s="26"/>
      <c r="P91" s="26" t="s">
        <v>1173</v>
      </c>
      <c r="Q91" s="259" t="s">
        <v>1635</v>
      </c>
      <c r="R91" s="259" t="s">
        <v>1636</v>
      </c>
    </row>
    <row r="92" spans="1:18" ht="87.75" customHeight="1">
      <c r="A92" s="26" t="s">
        <v>1124</v>
      </c>
      <c r="B92" s="66">
        <v>4816</v>
      </c>
      <c r="C92" s="26" t="s">
        <v>769</v>
      </c>
      <c r="D92" s="26" t="s">
        <v>18</v>
      </c>
      <c r="E92" s="30" t="s">
        <v>19</v>
      </c>
      <c r="F92" s="30" t="s">
        <v>19</v>
      </c>
      <c r="G92" s="26" t="s">
        <v>1099</v>
      </c>
      <c r="H92" s="26" t="s">
        <v>1144</v>
      </c>
      <c r="I92" s="208" t="s">
        <v>1261</v>
      </c>
      <c r="J92" s="206" t="s">
        <v>3542</v>
      </c>
      <c r="K92" s="217" t="s">
        <v>815</v>
      </c>
      <c r="L92" s="26" t="s">
        <v>872</v>
      </c>
      <c r="M92" s="74" t="s">
        <v>3421</v>
      </c>
      <c r="N92" s="26" t="s">
        <v>1285</v>
      </c>
      <c r="O92" s="26"/>
      <c r="P92" s="26"/>
      <c r="Q92" s="259" t="s">
        <v>1637</v>
      </c>
      <c r="R92" s="259" t="s">
        <v>1638</v>
      </c>
    </row>
    <row r="93" spans="1:18" ht="87.75" customHeight="1">
      <c r="A93" s="26" t="s">
        <v>1125</v>
      </c>
      <c r="B93" s="66">
        <v>1101</v>
      </c>
      <c r="C93" s="26" t="s">
        <v>770</v>
      </c>
      <c r="D93" s="26" t="s">
        <v>18</v>
      </c>
      <c r="E93" s="39" t="s">
        <v>31</v>
      </c>
      <c r="F93" s="30" t="s">
        <v>19</v>
      </c>
      <c r="G93" s="26" t="s">
        <v>792</v>
      </c>
      <c r="H93" s="26" t="s">
        <v>1145</v>
      </c>
      <c r="I93" s="208" t="s">
        <v>1262</v>
      </c>
      <c r="J93" s="206" t="s">
        <v>3543</v>
      </c>
      <c r="K93" s="217" t="s">
        <v>815</v>
      </c>
      <c r="L93" s="26" t="s">
        <v>873</v>
      </c>
      <c r="M93" s="74" t="s">
        <v>3422</v>
      </c>
      <c r="N93" s="26" t="s">
        <v>1286</v>
      </c>
      <c r="O93" s="26"/>
      <c r="P93" s="26"/>
      <c r="Q93" s="259" t="s">
        <v>1639</v>
      </c>
      <c r="R93" s="259" t="s">
        <v>1640</v>
      </c>
    </row>
    <row r="94" spans="1:18" ht="87.75" customHeight="1">
      <c r="A94" s="26" t="s">
        <v>1125</v>
      </c>
      <c r="B94" s="66">
        <v>1104</v>
      </c>
      <c r="C94" s="26" t="s">
        <v>771</v>
      </c>
      <c r="D94" s="26" t="s">
        <v>18</v>
      </c>
      <c r="E94" s="39" t="s">
        <v>31</v>
      </c>
      <c r="F94" s="31" t="s">
        <v>20</v>
      </c>
      <c r="G94" s="26" t="s">
        <v>793</v>
      </c>
      <c r="H94" s="26" t="s">
        <v>1146</v>
      </c>
      <c r="I94" s="208" t="s">
        <v>1263</v>
      </c>
      <c r="J94" s="206" t="s">
        <v>3544</v>
      </c>
      <c r="K94" s="217" t="s">
        <v>852</v>
      </c>
      <c r="L94" s="26" t="s">
        <v>874</v>
      </c>
      <c r="M94" s="74" t="s">
        <v>3423</v>
      </c>
      <c r="N94" s="26" t="s">
        <v>1287</v>
      </c>
      <c r="O94" s="26"/>
      <c r="P94" s="26"/>
      <c r="Q94" s="259" t="s">
        <v>1641</v>
      </c>
      <c r="R94" s="259" t="s">
        <v>1642</v>
      </c>
    </row>
    <row r="95" spans="1:18" ht="87.75" customHeight="1">
      <c r="A95" s="26" t="s">
        <v>1126</v>
      </c>
      <c r="B95" s="66">
        <v>1105</v>
      </c>
      <c r="C95" s="26" t="s">
        <v>772</v>
      </c>
      <c r="D95" s="26" t="s">
        <v>18</v>
      </c>
      <c r="E95" s="39" t="s">
        <v>31</v>
      </c>
      <c r="F95" s="30" t="s">
        <v>19</v>
      </c>
      <c r="G95" s="26" t="s">
        <v>794</v>
      </c>
      <c r="H95" s="26" t="s">
        <v>1147</v>
      </c>
      <c r="I95" s="208" t="s">
        <v>1264</v>
      </c>
      <c r="J95" s="206" t="s">
        <v>3545</v>
      </c>
      <c r="K95" s="217" t="s">
        <v>845</v>
      </c>
      <c r="L95" s="26" t="s">
        <v>875</v>
      </c>
      <c r="M95" s="74" t="s">
        <v>3424</v>
      </c>
      <c r="N95" s="26" t="s">
        <v>1288</v>
      </c>
      <c r="O95" s="26"/>
      <c r="P95" s="26"/>
      <c r="Q95" s="259" t="s">
        <v>1643</v>
      </c>
      <c r="R95" s="259" t="s">
        <v>1644</v>
      </c>
    </row>
    <row r="96" spans="1:18" ht="87.75" customHeight="1">
      <c r="A96" s="26" t="s">
        <v>1125</v>
      </c>
      <c r="B96" s="66">
        <v>1108</v>
      </c>
      <c r="C96" s="26" t="s">
        <v>773</v>
      </c>
      <c r="D96" s="26" t="s">
        <v>18</v>
      </c>
      <c r="E96" s="39" t="s">
        <v>31</v>
      </c>
      <c r="F96" s="30" t="s">
        <v>19</v>
      </c>
      <c r="G96" s="26" t="s">
        <v>795</v>
      </c>
      <c r="H96" s="26" t="s">
        <v>1148</v>
      </c>
      <c r="I96" s="208" t="s">
        <v>1265</v>
      </c>
      <c r="J96" s="206" t="s">
        <v>3546</v>
      </c>
      <c r="K96" s="217" t="s">
        <v>815</v>
      </c>
      <c r="L96" s="26" t="s">
        <v>876</v>
      </c>
      <c r="M96" s="74" t="s">
        <v>3425</v>
      </c>
      <c r="N96" s="26" t="s">
        <v>1289</v>
      </c>
      <c r="O96" s="26"/>
      <c r="P96" s="26"/>
      <c r="Q96" s="259" t="s">
        <v>1645</v>
      </c>
      <c r="R96" s="259" t="s">
        <v>1646</v>
      </c>
    </row>
    <row r="97" spans="1:18" ht="87.75" customHeight="1">
      <c r="A97" s="26" t="s">
        <v>1127</v>
      </c>
      <c r="B97" s="66">
        <v>4609</v>
      </c>
      <c r="C97" s="26" t="s">
        <v>774</v>
      </c>
      <c r="D97" s="26" t="s">
        <v>18</v>
      </c>
      <c r="E97" s="39" t="s">
        <v>31</v>
      </c>
      <c r="F97" s="30" t="s">
        <v>19</v>
      </c>
      <c r="G97" s="26" t="s">
        <v>796</v>
      </c>
      <c r="H97" s="26" t="s">
        <v>1149</v>
      </c>
      <c r="I97" s="208" t="s">
        <v>1266</v>
      </c>
      <c r="J97" s="206" t="s">
        <v>3547</v>
      </c>
      <c r="K97" s="217" t="s">
        <v>830</v>
      </c>
      <c r="L97" s="26" t="s">
        <v>877</v>
      </c>
      <c r="M97" s="74" t="s">
        <v>3426</v>
      </c>
      <c r="N97" s="26" t="s">
        <v>1290</v>
      </c>
      <c r="O97" s="26"/>
      <c r="P97" s="26"/>
      <c r="Q97" s="259" t="s">
        <v>1647</v>
      </c>
      <c r="R97" s="259" t="s">
        <v>1648</v>
      </c>
    </row>
    <row r="98" spans="1:18" ht="87.75" customHeight="1">
      <c r="A98" s="26" t="s">
        <v>1128</v>
      </c>
      <c r="B98" s="66">
        <v>4647</v>
      </c>
      <c r="C98" s="26" t="s">
        <v>775</v>
      </c>
      <c r="D98" s="26" t="s">
        <v>18</v>
      </c>
      <c r="E98" s="39" t="s">
        <v>31</v>
      </c>
      <c r="F98" s="30" t="s">
        <v>19</v>
      </c>
      <c r="G98" s="26" t="s">
        <v>797</v>
      </c>
      <c r="H98" s="26" t="s">
        <v>1150</v>
      </c>
      <c r="I98" s="208" t="s">
        <v>1267</v>
      </c>
      <c r="J98" s="206" t="s">
        <v>3548</v>
      </c>
      <c r="K98" s="217" t="s">
        <v>815</v>
      </c>
      <c r="L98" s="26" t="s">
        <v>878</v>
      </c>
      <c r="M98" s="74" t="s">
        <v>3427</v>
      </c>
      <c r="N98" s="26" t="s">
        <v>1291</v>
      </c>
      <c r="O98" s="26"/>
      <c r="P98" s="26"/>
      <c r="Q98" s="259" t="s">
        <v>1649</v>
      </c>
      <c r="R98" s="259" t="s">
        <v>1650</v>
      </c>
    </row>
    <row r="99" spans="1:18" ht="87.75" customHeight="1">
      <c r="A99" s="26" t="s">
        <v>1129</v>
      </c>
      <c r="B99" s="66">
        <v>4700</v>
      </c>
      <c r="C99" s="26" t="s">
        <v>776</v>
      </c>
      <c r="D99" s="26" t="s">
        <v>18</v>
      </c>
      <c r="E99" s="39" t="s">
        <v>31</v>
      </c>
      <c r="F99" s="30" t="s">
        <v>19</v>
      </c>
      <c r="G99" s="26" t="s">
        <v>798</v>
      </c>
      <c r="H99" s="26" t="s">
        <v>1151</v>
      </c>
      <c r="I99" s="208" t="s">
        <v>1268</v>
      </c>
      <c r="J99" s="206" t="s">
        <v>3549</v>
      </c>
      <c r="K99" s="217" t="s">
        <v>807</v>
      </c>
      <c r="L99" s="26" t="s">
        <v>879</v>
      </c>
      <c r="M99" s="74" t="s">
        <v>3428</v>
      </c>
      <c r="N99" s="26" t="s">
        <v>1292</v>
      </c>
      <c r="O99" s="26"/>
      <c r="P99" s="26" t="s">
        <v>1174</v>
      </c>
      <c r="Q99" s="259" t="s">
        <v>1651</v>
      </c>
      <c r="R99" s="259" t="s">
        <v>1652</v>
      </c>
    </row>
    <row r="100" spans="1:18" ht="87.75" customHeight="1">
      <c r="A100" s="26" t="s">
        <v>1129</v>
      </c>
      <c r="B100" s="66">
        <v>4701</v>
      </c>
      <c r="C100" s="26" t="s">
        <v>777</v>
      </c>
      <c r="D100" s="26" t="s">
        <v>18</v>
      </c>
      <c r="E100" s="39" t="s">
        <v>31</v>
      </c>
      <c r="F100" s="30" t="s">
        <v>19</v>
      </c>
      <c r="G100" s="26" t="s">
        <v>799</v>
      </c>
      <c r="H100" s="26" t="s">
        <v>1152</v>
      </c>
      <c r="I100" s="208" t="s">
        <v>1269</v>
      </c>
      <c r="J100" s="206" t="s">
        <v>3550</v>
      </c>
      <c r="K100" s="217" t="s">
        <v>807</v>
      </c>
      <c r="L100" s="26" t="s">
        <v>880</v>
      </c>
      <c r="M100" s="74" t="s">
        <v>3429</v>
      </c>
      <c r="N100" s="26" t="s">
        <v>1293</v>
      </c>
      <c r="O100" s="26"/>
      <c r="P100" s="26" t="s">
        <v>1174</v>
      </c>
      <c r="Q100" s="259" t="s">
        <v>1653</v>
      </c>
      <c r="R100" s="259" t="s">
        <v>1654</v>
      </c>
    </row>
    <row r="101" spans="1:18" ht="87.75" customHeight="1">
      <c r="A101" s="26" t="s">
        <v>1130</v>
      </c>
      <c r="B101" s="66">
        <v>4902</v>
      </c>
      <c r="C101" s="26" t="s">
        <v>778</v>
      </c>
      <c r="D101" s="26" t="s">
        <v>18</v>
      </c>
      <c r="E101" s="39" t="s">
        <v>31</v>
      </c>
      <c r="F101" s="30" t="s">
        <v>19</v>
      </c>
      <c r="G101" s="26" t="s">
        <v>800</v>
      </c>
      <c r="H101" s="26" t="s">
        <v>1153</v>
      </c>
      <c r="I101" s="208" t="s">
        <v>1270</v>
      </c>
      <c r="J101" s="206" t="s">
        <v>3551</v>
      </c>
      <c r="K101" s="217" t="s">
        <v>815</v>
      </c>
      <c r="L101" s="26" t="s">
        <v>881</v>
      </c>
      <c r="M101" s="74" t="s">
        <v>3430</v>
      </c>
      <c r="N101" s="26" t="s">
        <v>1294</v>
      </c>
      <c r="O101" s="26"/>
      <c r="P101" s="26" t="s">
        <v>1175</v>
      </c>
      <c r="Q101" s="259" t="s">
        <v>1655</v>
      </c>
      <c r="R101" s="259" t="s">
        <v>1656</v>
      </c>
    </row>
    <row r="102" spans="1:18" ht="87.75" customHeight="1">
      <c r="A102" s="219" t="s">
        <v>69</v>
      </c>
      <c r="B102" s="66">
        <v>4742</v>
      </c>
      <c r="C102" s="26" t="s">
        <v>3552</v>
      </c>
      <c r="D102" s="26" t="s">
        <v>18</v>
      </c>
      <c r="E102" s="39" t="s">
        <v>20</v>
      </c>
      <c r="F102" s="30" t="s">
        <v>19</v>
      </c>
      <c r="G102" s="205" t="s">
        <v>3553</v>
      </c>
      <c r="H102" s="205" t="s">
        <v>3554</v>
      </c>
      <c r="I102" s="218" t="s">
        <v>3555</v>
      </c>
      <c r="J102" s="206" t="s">
        <v>3556</v>
      </c>
      <c r="K102" s="217" t="s">
        <v>3557</v>
      </c>
      <c r="L102" s="205" t="s">
        <v>3558</v>
      </c>
      <c r="M102" s="74" t="s">
        <v>3559</v>
      </c>
      <c r="N102" s="205" t="s">
        <v>3560</v>
      </c>
      <c r="O102" s="26"/>
      <c r="P102" s="26" t="s">
        <v>2906</v>
      </c>
      <c r="Q102" s="259" t="s">
        <v>3561</v>
      </c>
      <c r="R102" s="259" t="s">
        <v>3562</v>
      </c>
    </row>
    <row r="103" spans="1:18" ht="87.75" customHeight="1">
      <c r="A103" s="219" t="s">
        <v>92</v>
      </c>
      <c r="B103" s="66">
        <v>4756</v>
      </c>
      <c r="C103" s="26" t="s">
        <v>3563</v>
      </c>
      <c r="D103" s="26" t="s">
        <v>18</v>
      </c>
      <c r="E103" s="39" t="s">
        <v>84</v>
      </c>
      <c r="F103" s="30" t="s">
        <v>31</v>
      </c>
      <c r="G103" s="205" t="s">
        <v>3564</v>
      </c>
      <c r="H103" s="205" t="s">
        <v>3565</v>
      </c>
      <c r="I103" s="218" t="s">
        <v>3566</v>
      </c>
      <c r="J103" s="206" t="s">
        <v>3567</v>
      </c>
      <c r="K103" s="217" t="s">
        <v>2023</v>
      </c>
      <c r="L103" s="205" t="s">
        <v>3568</v>
      </c>
      <c r="M103" s="74" t="s">
        <v>3569</v>
      </c>
      <c r="N103" s="205" t="s">
        <v>3570</v>
      </c>
      <c r="O103" s="26"/>
      <c r="P103" s="26" t="s">
        <v>2906</v>
      </c>
      <c r="Q103" s="259" t="s">
        <v>3571</v>
      </c>
      <c r="R103" s="259" t="s">
        <v>3572</v>
      </c>
    </row>
    <row r="104" spans="1:18" ht="87.75" customHeight="1">
      <c r="A104" s="219" t="s">
        <v>92</v>
      </c>
      <c r="B104" s="66">
        <v>4727</v>
      </c>
      <c r="C104" s="26" t="s">
        <v>3573</v>
      </c>
      <c r="D104" s="26" t="s">
        <v>18</v>
      </c>
      <c r="E104" s="39" t="s">
        <v>19</v>
      </c>
      <c r="F104" s="30" t="s">
        <v>31</v>
      </c>
      <c r="G104" s="205" t="s">
        <v>3574</v>
      </c>
      <c r="H104" s="205" t="s">
        <v>3575</v>
      </c>
      <c r="I104" s="218" t="s">
        <v>3576</v>
      </c>
      <c r="J104" s="206" t="s">
        <v>3577</v>
      </c>
      <c r="K104" s="217" t="s">
        <v>3578</v>
      </c>
      <c r="L104" s="205" t="s">
        <v>3579</v>
      </c>
      <c r="M104" s="74" t="s">
        <v>3580</v>
      </c>
      <c r="N104" s="205" t="s">
        <v>3581</v>
      </c>
      <c r="O104" s="26"/>
      <c r="P104" s="26" t="s">
        <v>2906</v>
      </c>
      <c r="Q104" s="259" t="s">
        <v>3582</v>
      </c>
      <c r="R104" s="259" t="s">
        <v>3583</v>
      </c>
    </row>
    <row r="105" spans="1:18" ht="87.75" customHeight="1">
      <c r="A105" s="219" t="s">
        <v>92</v>
      </c>
      <c r="B105" s="66">
        <v>4731</v>
      </c>
      <c r="C105" s="26" t="s">
        <v>3584</v>
      </c>
      <c r="D105" s="26" t="s">
        <v>18</v>
      </c>
      <c r="E105" s="39" t="s">
        <v>19</v>
      </c>
      <c r="F105" s="30" t="s">
        <v>31</v>
      </c>
      <c r="G105" s="205" t="s">
        <v>3585</v>
      </c>
      <c r="H105" s="205" t="s">
        <v>3586</v>
      </c>
      <c r="I105" s="218" t="s">
        <v>3587</v>
      </c>
      <c r="J105" s="206" t="s">
        <v>3588</v>
      </c>
      <c r="K105" s="217" t="s">
        <v>3578</v>
      </c>
      <c r="L105" s="205" t="s">
        <v>3589</v>
      </c>
      <c r="M105" s="74" t="s">
        <v>3590</v>
      </c>
      <c r="N105" s="205" t="s">
        <v>3591</v>
      </c>
      <c r="O105" s="26"/>
      <c r="P105" s="26" t="s">
        <v>2906</v>
      </c>
      <c r="Q105" s="259" t="s">
        <v>3592</v>
      </c>
      <c r="R105" s="259" t="s">
        <v>3593</v>
      </c>
    </row>
    <row r="106" spans="1:18" ht="87.75" customHeight="1">
      <c r="A106" s="219" t="s">
        <v>92</v>
      </c>
      <c r="B106" s="66">
        <v>4734</v>
      </c>
      <c r="C106" s="26" t="s">
        <v>3594</v>
      </c>
      <c r="D106" s="26" t="s">
        <v>18</v>
      </c>
      <c r="E106" s="39" t="s">
        <v>19</v>
      </c>
      <c r="F106" s="30" t="s">
        <v>31</v>
      </c>
      <c r="G106" s="205" t="s">
        <v>3595</v>
      </c>
      <c r="H106" s="205" t="s">
        <v>3596</v>
      </c>
      <c r="I106" s="218" t="s">
        <v>3597</v>
      </c>
      <c r="J106" s="206" t="s">
        <v>3598</v>
      </c>
      <c r="K106" s="217" t="s">
        <v>3599</v>
      </c>
      <c r="L106" s="205" t="s">
        <v>3600</v>
      </c>
      <c r="M106" s="74" t="s">
        <v>3601</v>
      </c>
      <c r="N106" s="205" t="s">
        <v>3602</v>
      </c>
      <c r="O106" s="26"/>
      <c r="P106" s="26" t="s">
        <v>2906</v>
      </c>
      <c r="Q106" s="259" t="s">
        <v>3603</v>
      </c>
      <c r="R106" s="259" t="s">
        <v>3604</v>
      </c>
    </row>
    <row r="107" spans="1:18" ht="87.75" customHeight="1">
      <c r="A107" s="220" t="s">
        <v>3605</v>
      </c>
      <c r="B107" s="66">
        <v>1116</v>
      </c>
      <c r="C107" s="26" t="s">
        <v>3606</v>
      </c>
      <c r="D107" s="26" t="s">
        <v>3607</v>
      </c>
      <c r="E107" s="39" t="s">
        <v>20</v>
      </c>
      <c r="F107" s="30" t="s">
        <v>19</v>
      </c>
      <c r="G107" s="205" t="s">
        <v>3608</v>
      </c>
      <c r="H107" s="205" t="s">
        <v>3609</v>
      </c>
      <c r="I107" s="218" t="s">
        <v>3610</v>
      </c>
      <c r="J107" s="206" t="s">
        <v>3611</v>
      </c>
      <c r="K107" s="217" t="s">
        <v>3612</v>
      </c>
      <c r="L107" s="205" t="s">
        <v>3613</v>
      </c>
      <c r="M107" s="74" t="s">
        <v>3614</v>
      </c>
      <c r="N107" s="205" t="s">
        <v>3615</v>
      </c>
      <c r="O107" s="26"/>
      <c r="P107" s="26" t="s">
        <v>2906</v>
      </c>
      <c r="Q107" s="259" t="s">
        <v>3616</v>
      </c>
      <c r="R107" s="259" t="s">
        <v>3617</v>
      </c>
    </row>
    <row r="108" spans="1:18" ht="87.75" customHeight="1">
      <c r="A108" s="220" t="s">
        <v>3605</v>
      </c>
      <c r="B108" s="66">
        <v>1117</v>
      </c>
      <c r="C108" s="26" t="s">
        <v>3618</v>
      </c>
      <c r="D108" s="26" t="s">
        <v>3607</v>
      </c>
      <c r="E108" s="39" t="s">
        <v>19</v>
      </c>
      <c r="F108" s="30" t="s">
        <v>19</v>
      </c>
      <c r="G108" s="205" t="s">
        <v>3619</v>
      </c>
      <c r="H108" s="205" t="s">
        <v>3620</v>
      </c>
      <c r="I108" s="218" t="s">
        <v>3621</v>
      </c>
      <c r="J108" s="206" t="s">
        <v>3622</v>
      </c>
      <c r="K108" s="217" t="s">
        <v>3623</v>
      </c>
      <c r="L108" s="205" t="s">
        <v>3624</v>
      </c>
      <c r="M108" s="74" t="s">
        <v>3614</v>
      </c>
      <c r="N108" s="205" t="s">
        <v>3625</v>
      </c>
      <c r="O108" s="26"/>
      <c r="P108" s="26" t="s">
        <v>2906</v>
      </c>
      <c r="Q108" s="259" t="s">
        <v>3626</v>
      </c>
      <c r="R108" s="259" t="s">
        <v>3627</v>
      </c>
    </row>
    <row r="109" spans="1:18" ht="87.75" customHeight="1">
      <c r="A109" s="220" t="s">
        <v>3605</v>
      </c>
      <c r="B109" s="66">
        <v>5001</v>
      </c>
      <c r="C109" s="26" t="s">
        <v>3628</v>
      </c>
      <c r="D109" s="26" t="s">
        <v>3607</v>
      </c>
      <c r="E109" s="39" t="s">
        <v>84</v>
      </c>
      <c r="F109" s="30" t="s">
        <v>31</v>
      </c>
      <c r="G109" s="205" t="s">
        <v>3629</v>
      </c>
      <c r="H109" s="205" t="s">
        <v>3630</v>
      </c>
      <c r="I109" s="218" t="s">
        <v>3631</v>
      </c>
      <c r="J109" s="206" t="s">
        <v>3632</v>
      </c>
      <c r="K109" s="217" t="s">
        <v>848</v>
      </c>
      <c r="L109" s="205" t="s">
        <v>3633</v>
      </c>
      <c r="M109" s="74" t="s">
        <v>3614</v>
      </c>
      <c r="N109" s="205" t="s">
        <v>3634</v>
      </c>
      <c r="O109" s="26"/>
      <c r="P109" s="26" t="s">
        <v>2906</v>
      </c>
      <c r="Q109" s="259" t="s">
        <v>3635</v>
      </c>
      <c r="R109" s="259" t="s">
        <v>3636</v>
      </c>
    </row>
    <row r="110" spans="1:18" ht="87.75" customHeight="1">
      <c r="A110" s="220" t="s">
        <v>3605</v>
      </c>
      <c r="B110" s="66">
        <v>5007</v>
      </c>
      <c r="C110" s="26" t="s">
        <v>3637</v>
      </c>
      <c r="D110" s="26" t="s">
        <v>3607</v>
      </c>
      <c r="E110" s="39" t="s">
        <v>20</v>
      </c>
      <c r="F110" s="30" t="s">
        <v>31</v>
      </c>
      <c r="G110" s="205" t="s">
        <v>3638</v>
      </c>
      <c r="H110" s="205" t="s">
        <v>3639</v>
      </c>
      <c r="I110" s="218" t="s">
        <v>3640</v>
      </c>
      <c r="J110" s="206" t="s">
        <v>3641</v>
      </c>
      <c r="K110" s="217" t="s">
        <v>848</v>
      </c>
      <c r="L110" s="205" t="s">
        <v>3642</v>
      </c>
      <c r="M110" s="74" t="s">
        <v>3614</v>
      </c>
      <c r="N110" s="205" t="s">
        <v>3643</v>
      </c>
      <c r="O110" s="26"/>
      <c r="P110" s="26" t="s">
        <v>2906</v>
      </c>
      <c r="Q110" s="259" t="s">
        <v>3644</v>
      </c>
      <c r="R110" s="259" t="s">
        <v>3645</v>
      </c>
    </row>
    <row r="111" spans="1:18" ht="87.75" customHeight="1">
      <c r="A111" s="26" t="s">
        <v>3646</v>
      </c>
      <c r="B111" s="66">
        <v>7034</v>
      </c>
      <c r="C111" s="26" t="s">
        <v>3647</v>
      </c>
      <c r="D111" s="26" t="s">
        <v>1096</v>
      </c>
      <c r="E111" s="39" t="s">
        <v>19</v>
      </c>
      <c r="F111" s="30" t="s">
        <v>19</v>
      </c>
      <c r="G111" s="205" t="s">
        <v>3648</v>
      </c>
      <c r="H111" s="205" t="s">
        <v>3649</v>
      </c>
      <c r="I111" s="218" t="s">
        <v>3650</v>
      </c>
      <c r="J111" s="206" t="s">
        <v>3651</v>
      </c>
      <c r="K111" s="217" t="s">
        <v>3652</v>
      </c>
      <c r="L111" s="205" t="s">
        <v>3653</v>
      </c>
      <c r="M111" s="74" t="s">
        <v>3654</v>
      </c>
      <c r="N111" s="205" t="s">
        <v>3655</v>
      </c>
      <c r="O111" s="26"/>
      <c r="P111" s="26" t="s">
        <v>2906</v>
      </c>
      <c r="Q111" s="259" t="s">
        <v>3656</v>
      </c>
      <c r="R111" s="259" t="s">
        <v>3657</v>
      </c>
    </row>
    <row r="112" spans="1:18" ht="87.75" customHeight="1">
      <c r="A112" s="26" t="s">
        <v>3646</v>
      </c>
      <c r="B112" s="66">
        <v>7036</v>
      </c>
      <c r="C112" s="26" t="s">
        <v>3658</v>
      </c>
      <c r="D112" s="26" t="s">
        <v>1096</v>
      </c>
      <c r="E112" s="39" t="s">
        <v>31</v>
      </c>
      <c r="F112" s="30" t="s">
        <v>131</v>
      </c>
      <c r="G112" s="205" t="s">
        <v>3659</v>
      </c>
      <c r="H112" s="205" t="s">
        <v>3660</v>
      </c>
      <c r="I112" s="218" t="s">
        <v>3661</v>
      </c>
      <c r="J112" s="206" t="s">
        <v>3662</v>
      </c>
      <c r="K112" s="217" t="s">
        <v>3652</v>
      </c>
      <c r="L112" s="205" t="s">
        <v>3663</v>
      </c>
      <c r="M112" s="74" t="s">
        <v>3654</v>
      </c>
      <c r="N112" s="205" t="s">
        <v>3664</v>
      </c>
      <c r="O112" s="26"/>
      <c r="P112" s="26" t="s">
        <v>2906</v>
      </c>
      <c r="Q112" s="259" t="s">
        <v>3665</v>
      </c>
      <c r="R112" s="259" t="s">
        <v>3666</v>
      </c>
    </row>
    <row r="113" spans="1:18" ht="87.75" customHeight="1">
      <c r="A113" s="26" t="s">
        <v>3646</v>
      </c>
      <c r="B113" s="66">
        <v>7040</v>
      </c>
      <c r="C113" s="26" t="s">
        <v>3667</v>
      </c>
      <c r="D113" s="26" t="s">
        <v>1096</v>
      </c>
      <c r="E113" s="39" t="s">
        <v>20</v>
      </c>
      <c r="F113" s="30" t="s">
        <v>31</v>
      </c>
      <c r="G113" s="205" t="s">
        <v>3668</v>
      </c>
      <c r="H113" s="205" t="s">
        <v>3669</v>
      </c>
      <c r="I113" s="218" t="s">
        <v>3670</v>
      </c>
      <c r="J113" s="206" t="s">
        <v>3671</v>
      </c>
      <c r="K113" s="217" t="s">
        <v>3672</v>
      </c>
      <c r="L113" s="205" t="s">
        <v>3673</v>
      </c>
      <c r="M113" s="74" t="s">
        <v>3654</v>
      </c>
      <c r="N113" s="205" t="s">
        <v>3674</v>
      </c>
      <c r="O113" s="26"/>
      <c r="P113" s="26" t="s">
        <v>2906</v>
      </c>
      <c r="Q113" s="259" t="s">
        <v>3675</v>
      </c>
      <c r="R113" s="259" t="s">
        <v>3676</v>
      </c>
    </row>
    <row r="114" spans="1:18" ht="87.75" customHeight="1">
      <c r="A114" s="26" t="s">
        <v>218</v>
      </c>
      <c r="B114" s="66">
        <v>1100</v>
      </c>
      <c r="C114" s="26" t="s">
        <v>3677</v>
      </c>
      <c r="D114" s="26" t="s">
        <v>18</v>
      </c>
      <c r="E114" s="39" t="s">
        <v>84</v>
      </c>
      <c r="F114" s="30" t="s">
        <v>89</v>
      </c>
      <c r="G114" s="205" t="s">
        <v>3678</v>
      </c>
      <c r="H114" s="205" t="s">
        <v>3679</v>
      </c>
      <c r="I114" s="218" t="s">
        <v>3680</v>
      </c>
      <c r="J114" s="206" t="s">
        <v>3681</v>
      </c>
      <c r="K114" s="217" t="s">
        <v>3682</v>
      </c>
      <c r="L114" s="205" t="s">
        <v>3683</v>
      </c>
      <c r="M114" s="74" t="s">
        <v>3684</v>
      </c>
      <c r="N114" s="205" t="s">
        <v>3685</v>
      </c>
      <c r="O114" s="26"/>
      <c r="P114" s="26" t="s">
        <v>2906</v>
      </c>
      <c r="Q114" s="259" t="s">
        <v>3686</v>
      </c>
      <c r="R114" s="259" t="s">
        <v>3687</v>
      </c>
    </row>
    <row r="115" spans="1:18" ht="87.75" customHeight="1">
      <c r="A115" s="219" t="s">
        <v>3688</v>
      </c>
      <c r="B115" s="66">
        <v>4781</v>
      </c>
      <c r="C115" s="26" t="s">
        <v>3689</v>
      </c>
      <c r="D115" s="26" t="s">
        <v>18</v>
      </c>
      <c r="E115" s="39" t="s">
        <v>20</v>
      </c>
      <c r="F115" s="30" t="s">
        <v>31</v>
      </c>
      <c r="G115" s="205" t="s">
        <v>3690</v>
      </c>
      <c r="H115" s="205" t="s">
        <v>3691</v>
      </c>
      <c r="I115" s="218" t="s">
        <v>3692</v>
      </c>
      <c r="J115" s="206" t="s">
        <v>3693</v>
      </c>
      <c r="K115" s="217" t="s">
        <v>3694</v>
      </c>
      <c r="L115" s="205" t="s">
        <v>3695</v>
      </c>
      <c r="M115" s="74" t="s">
        <v>3696</v>
      </c>
      <c r="N115" s="205" t="s">
        <v>3697</v>
      </c>
      <c r="O115" s="26"/>
      <c r="P115" s="26" t="s">
        <v>2906</v>
      </c>
      <c r="Q115" s="259" t="s">
        <v>3698</v>
      </c>
      <c r="R115" s="259" t="s">
        <v>3699</v>
      </c>
    </row>
    <row r="116" spans="1:18" ht="87.75" customHeight="1">
      <c r="A116" s="219" t="s">
        <v>92</v>
      </c>
      <c r="B116" s="66">
        <v>4764</v>
      </c>
      <c r="C116" s="26" t="s">
        <v>3700</v>
      </c>
      <c r="D116" s="26" t="s">
        <v>18</v>
      </c>
      <c r="E116" s="39" t="s">
        <v>19</v>
      </c>
      <c r="F116" s="30" t="s">
        <v>89</v>
      </c>
      <c r="G116" s="205" t="s">
        <v>3701</v>
      </c>
      <c r="H116" s="205" t="s">
        <v>3702</v>
      </c>
      <c r="I116" s="218" t="s">
        <v>3703</v>
      </c>
      <c r="J116" s="206" t="s">
        <v>3704</v>
      </c>
      <c r="K116" s="217" t="s">
        <v>2023</v>
      </c>
      <c r="L116" s="205" t="s">
        <v>3705</v>
      </c>
      <c r="M116" s="74" t="s">
        <v>3706</v>
      </c>
      <c r="N116" s="205" t="s">
        <v>3707</v>
      </c>
      <c r="O116" s="26"/>
      <c r="P116" s="26" t="s">
        <v>2906</v>
      </c>
      <c r="Q116" s="259" t="s">
        <v>3708</v>
      </c>
      <c r="R116" s="259" t="s">
        <v>3709</v>
      </c>
    </row>
    <row r="117" spans="1:18" ht="87.75" customHeight="1">
      <c r="A117" s="219" t="s">
        <v>3710</v>
      </c>
      <c r="B117" s="66">
        <v>4739</v>
      </c>
      <c r="C117" s="26" t="s">
        <v>3711</v>
      </c>
      <c r="D117" s="26" t="s">
        <v>18</v>
      </c>
      <c r="E117" s="39" t="s">
        <v>20</v>
      </c>
      <c r="F117" s="30" t="s">
        <v>89</v>
      </c>
      <c r="G117" s="205" t="s">
        <v>3712</v>
      </c>
      <c r="H117" s="205" t="s">
        <v>3713</v>
      </c>
      <c r="I117" s="218" t="s">
        <v>3714</v>
      </c>
      <c r="J117" s="206" t="s">
        <v>3715</v>
      </c>
      <c r="K117" s="217" t="s">
        <v>3716</v>
      </c>
      <c r="L117" s="205" t="s">
        <v>3717</v>
      </c>
      <c r="M117" s="74" t="s">
        <v>3718</v>
      </c>
      <c r="N117" s="205" t="s">
        <v>3719</v>
      </c>
      <c r="O117" s="26"/>
      <c r="P117" s="26" t="s">
        <v>2906</v>
      </c>
      <c r="Q117" s="259" t="s">
        <v>3720</v>
      </c>
      <c r="R117" s="259" t="s">
        <v>3721</v>
      </c>
    </row>
    <row r="118" spans="1:18" ht="87.75" customHeight="1">
      <c r="A118" s="219" t="s">
        <v>3710</v>
      </c>
      <c r="B118" s="66">
        <v>4713</v>
      </c>
      <c r="C118" s="26" t="s">
        <v>3722</v>
      </c>
      <c r="D118" s="26" t="s">
        <v>18</v>
      </c>
      <c r="E118" s="39" t="s">
        <v>20</v>
      </c>
      <c r="F118" s="30" t="s">
        <v>89</v>
      </c>
      <c r="G118" s="205" t="s">
        <v>3723</v>
      </c>
      <c r="H118" s="205" t="s">
        <v>3724</v>
      </c>
      <c r="I118" s="218" t="s">
        <v>3725</v>
      </c>
      <c r="J118" s="206" t="s">
        <v>3726</v>
      </c>
      <c r="K118" s="217" t="s">
        <v>3727</v>
      </c>
      <c r="L118" s="205" t="s">
        <v>3728</v>
      </c>
      <c r="M118" s="74" t="s">
        <v>3729</v>
      </c>
      <c r="N118" s="205" t="s">
        <v>3730</v>
      </c>
      <c r="O118" s="26"/>
      <c r="P118" s="26" t="s">
        <v>2906</v>
      </c>
      <c r="Q118" s="259" t="s">
        <v>3731</v>
      </c>
      <c r="R118" s="259" t="s">
        <v>3732</v>
      </c>
    </row>
    <row r="119" spans="1:18" ht="87.75" customHeight="1">
      <c r="A119" s="219" t="s">
        <v>3710</v>
      </c>
      <c r="B119" s="66">
        <v>4706</v>
      </c>
      <c r="C119" s="26" t="s">
        <v>3733</v>
      </c>
      <c r="D119" s="26" t="s">
        <v>18</v>
      </c>
      <c r="E119" s="39" t="s">
        <v>84</v>
      </c>
      <c r="F119" s="30" t="s">
        <v>89</v>
      </c>
      <c r="G119" s="205" t="s">
        <v>3734</v>
      </c>
      <c r="H119" s="205" t="s">
        <v>3735</v>
      </c>
      <c r="I119" s="218" t="s">
        <v>3736</v>
      </c>
      <c r="J119" s="206" t="s">
        <v>3737</v>
      </c>
      <c r="K119" s="217" t="s">
        <v>3738</v>
      </c>
      <c r="L119" s="205" t="s">
        <v>3739</v>
      </c>
      <c r="M119" s="74" t="s">
        <v>3740</v>
      </c>
      <c r="N119" s="205" t="s">
        <v>3741</v>
      </c>
      <c r="O119" s="26"/>
      <c r="P119" s="26" t="s">
        <v>2906</v>
      </c>
      <c r="Q119" s="259" t="s">
        <v>3742</v>
      </c>
      <c r="R119" s="259" t="s">
        <v>3743</v>
      </c>
    </row>
    <row r="120" spans="1:18" ht="87.75" customHeight="1">
      <c r="A120" s="219" t="s">
        <v>3710</v>
      </c>
      <c r="B120" s="66">
        <v>4707</v>
      </c>
      <c r="C120" s="26" t="s">
        <v>3744</v>
      </c>
      <c r="D120" s="26" t="s">
        <v>18</v>
      </c>
      <c r="E120" s="39" t="s">
        <v>20</v>
      </c>
      <c r="F120" s="30" t="s">
        <v>89</v>
      </c>
      <c r="G120" s="205" t="s">
        <v>3745</v>
      </c>
      <c r="H120" s="205" t="s">
        <v>3746</v>
      </c>
      <c r="I120" s="218" t="s">
        <v>3747</v>
      </c>
      <c r="J120" s="206" t="s">
        <v>3748</v>
      </c>
      <c r="K120" s="217" t="s">
        <v>3749</v>
      </c>
      <c r="L120" s="205" t="s">
        <v>3750</v>
      </c>
      <c r="M120" s="74" t="s">
        <v>3751</v>
      </c>
      <c r="N120" s="205" t="s">
        <v>3752</v>
      </c>
      <c r="O120" s="26"/>
      <c r="P120" s="26" t="s">
        <v>2906</v>
      </c>
      <c r="Q120" s="259" t="s">
        <v>3753</v>
      </c>
      <c r="R120" s="259" t="s">
        <v>3754</v>
      </c>
    </row>
    <row r="121" spans="1:18" ht="87.75" customHeight="1">
      <c r="A121" s="219" t="s">
        <v>16</v>
      </c>
      <c r="B121" s="66">
        <v>4649</v>
      </c>
      <c r="C121" s="26" t="s">
        <v>3755</v>
      </c>
      <c r="D121" s="26" t="s">
        <v>18</v>
      </c>
      <c r="E121" s="39" t="s">
        <v>84</v>
      </c>
      <c r="F121" s="30" t="s">
        <v>89</v>
      </c>
      <c r="G121" s="205" t="s">
        <v>3756</v>
      </c>
      <c r="H121" s="205" t="s">
        <v>3757</v>
      </c>
      <c r="I121" s="218" t="s">
        <v>3758</v>
      </c>
      <c r="J121" s="206" t="s">
        <v>3759</v>
      </c>
      <c r="K121" s="217" t="s">
        <v>3760</v>
      </c>
      <c r="L121" s="205" t="s">
        <v>3761</v>
      </c>
      <c r="M121" s="74" t="s">
        <v>3762</v>
      </c>
      <c r="N121" s="205" t="s">
        <v>3763</v>
      </c>
      <c r="O121" s="26"/>
      <c r="P121" s="26" t="s">
        <v>2906</v>
      </c>
      <c r="Q121" s="259" t="s">
        <v>3764</v>
      </c>
      <c r="R121" s="259" t="s">
        <v>3765</v>
      </c>
    </row>
    <row r="122" spans="1:18" ht="87.75" customHeight="1">
      <c r="A122" s="220" t="s">
        <v>3605</v>
      </c>
      <c r="B122" s="66">
        <v>1118</v>
      </c>
      <c r="C122" s="26" t="s">
        <v>3792</v>
      </c>
      <c r="D122" s="26" t="s">
        <v>3607</v>
      </c>
      <c r="E122" s="39" t="s">
        <v>19</v>
      </c>
      <c r="F122" s="30" t="s">
        <v>19</v>
      </c>
      <c r="G122" s="205" t="s">
        <v>4179</v>
      </c>
      <c r="H122" s="205" t="s">
        <v>4180</v>
      </c>
      <c r="I122" s="218" t="s">
        <v>4181</v>
      </c>
      <c r="J122" s="206" t="s">
        <v>4182</v>
      </c>
      <c r="K122" s="217" t="s">
        <v>845</v>
      </c>
      <c r="L122" s="205" t="s">
        <v>4190</v>
      </c>
      <c r="M122" s="74" t="s">
        <v>3614</v>
      </c>
      <c r="N122" s="205" t="s">
        <v>4191</v>
      </c>
      <c r="O122" s="26"/>
      <c r="P122" s="26" t="s">
        <v>2906</v>
      </c>
      <c r="Q122" s="259" t="s">
        <v>4192</v>
      </c>
      <c r="R122" s="259" t="s">
        <v>4193</v>
      </c>
    </row>
    <row r="123" spans="1:18" ht="87.75" customHeight="1">
      <c r="A123" s="220" t="s">
        <v>3605</v>
      </c>
      <c r="B123" s="66">
        <v>1119</v>
      </c>
      <c r="C123" s="26" t="s">
        <v>3801</v>
      </c>
      <c r="D123" s="26" t="s">
        <v>3607</v>
      </c>
      <c r="E123" s="39" t="s">
        <v>84</v>
      </c>
      <c r="F123" s="30" t="s">
        <v>31</v>
      </c>
      <c r="G123" s="205" t="s">
        <v>4183</v>
      </c>
      <c r="H123" s="205" t="s">
        <v>4184</v>
      </c>
      <c r="I123" s="218" t="s">
        <v>3804</v>
      </c>
      <c r="J123" s="206" t="s">
        <v>3805</v>
      </c>
      <c r="K123" s="217" t="s">
        <v>3806</v>
      </c>
      <c r="L123" s="205" t="s">
        <v>4194</v>
      </c>
      <c r="M123" s="74" t="s">
        <v>3614</v>
      </c>
      <c r="N123" s="205" t="s">
        <v>4195</v>
      </c>
      <c r="O123" s="26"/>
      <c r="P123" s="26" t="s">
        <v>2906</v>
      </c>
      <c r="Q123" s="259" t="s">
        <v>4196</v>
      </c>
      <c r="R123" s="259" t="s">
        <v>3810</v>
      </c>
    </row>
    <row r="124" spans="1:18" ht="87.75" customHeight="1">
      <c r="A124" s="220" t="s">
        <v>3605</v>
      </c>
      <c r="B124" s="66">
        <v>5010</v>
      </c>
      <c r="C124" s="26" t="s">
        <v>4185</v>
      </c>
      <c r="D124" s="26" t="s">
        <v>3607</v>
      </c>
      <c r="E124" s="39" t="s">
        <v>20</v>
      </c>
      <c r="F124" s="30" t="s">
        <v>31</v>
      </c>
      <c r="G124" s="205" t="s">
        <v>3832</v>
      </c>
      <c r="H124" s="205" t="s">
        <v>3833</v>
      </c>
      <c r="I124" s="218" t="s">
        <v>3834</v>
      </c>
      <c r="J124" s="206" t="s">
        <v>3835</v>
      </c>
      <c r="K124" s="217" t="s">
        <v>848</v>
      </c>
      <c r="L124" s="205" t="s">
        <v>4197</v>
      </c>
      <c r="M124" s="74" t="s">
        <v>3614</v>
      </c>
      <c r="N124" s="205" t="s">
        <v>4198</v>
      </c>
      <c r="O124" s="26"/>
      <c r="P124" s="26" t="s">
        <v>2906</v>
      </c>
      <c r="Q124" s="259" t="s">
        <v>4199</v>
      </c>
      <c r="R124" s="259" t="s">
        <v>3839</v>
      </c>
    </row>
    <row r="125" spans="1:18" ht="87.75" customHeight="1">
      <c r="A125" s="220" t="s">
        <v>3605</v>
      </c>
      <c r="B125" s="66">
        <v>1006</v>
      </c>
      <c r="C125" s="26" t="s">
        <v>3840</v>
      </c>
      <c r="D125" s="26" t="s">
        <v>3607</v>
      </c>
      <c r="E125" s="39" t="s">
        <v>20</v>
      </c>
      <c r="F125" s="30" t="s">
        <v>19</v>
      </c>
      <c r="G125" s="205" t="s">
        <v>3841</v>
      </c>
      <c r="H125" s="205" t="s">
        <v>3842</v>
      </c>
      <c r="I125" s="218" t="s">
        <v>3843</v>
      </c>
      <c r="J125" s="206" t="s">
        <v>3844</v>
      </c>
      <c r="K125" s="217" t="s">
        <v>3845</v>
      </c>
      <c r="L125" s="205" t="s">
        <v>4200</v>
      </c>
      <c r="M125" s="74" t="s">
        <v>3614</v>
      </c>
      <c r="N125" s="205" t="s">
        <v>4201</v>
      </c>
      <c r="O125" s="26"/>
      <c r="P125" s="26" t="s">
        <v>2906</v>
      </c>
      <c r="Q125" s="259" t="s">
        <v>4202</v>
      </c>
      <c r="R125" s="259" t="s">
        <v>3849</v>
      </c>
    </row>
    <row r="126" spans="1:18" ht="87.75" customHeight="1">
      <c r="A126" s="220" t="s">
        <v>3605</v>
      </c>
      <c r="B126" s="66">
        <v>5012</v>
      </c>
      <c r="C126" s="26" t="s">
        <v>4186</v>
      </c>
      <c r="D126" s="26" t="s">
        <v>3607</v>
      </c>
      <c r="E126" s="39" t="s">
        <v>20</v>
      </c>
      <c r="F126" s="30" t="s">
        <v>31</v>
      </c>
      <c r="G126" s="205" t="s">
        <v>3851</v>
      </c>
      <c r="H126" s="205" t="s">
        <v>3852</v>
      </c>
      <c r="I126" s="218" t="s">
        <v>4187</v>
      </c>
      <c r="J126" s="206" t="s">
        <v>4188</v>
      </c>
      <c r="K126" s="217" t="s">
        <v>848</v>
      </c>
      <c r="L126" s="205" t="s">
        <v>4203</v>
      </c>
      <c r="M126" s="74" t="s">
        <v>3614</v>
      </c>
      <c r="N126" s="205" t="s">
        <v>4204</v>
      </c>
      <c r="O126" s="26"/>
      <c r="P126" s="26" t="s">
        <v>2906</v>
      </c>
      <c r="Q126" s="259" t="s">
        <v>4205</v>
      </c>
      <c r="R126" s="259" t="s">
        <v>3857</v>
      </c>
    </row>
    <row r="127" spans="1:18" ht="87.75" customHeight="1">
      <c r="A127" s="220" t="s">
        <v>3605</v>
      </c>
      <c r="B127" s="66">
        <v>1015</v>
      </c>
      <c r="C127" s="26" t="s">
        <v>3858</v>
      </c>
      <c r="D127" s="26" t="s">
        <v>3607</v>
      </c>
      <c r="E127" s="39" t="s">
        <v>20</v>
      </c>
      <c r="F127" s="30" t="s">
        <v>19</v>
      </c>
      <c r="G127" s="205" t="s">
        <v>3859</v>
      </c>
      <c r="H127" s="205" t="s">
        <v>3860</v>
      </c>
      <c r="I127" s="218" t="s">
        <v>3861</v>
      </c>
      <c r="J127" s="206" t="s">
        <v>3862</v>
      </c>
      <c r="K127" s="217" t="s">
        <v>3863</v>
      </c>
      <c r="L127" s="205" t="s">
        <v>4206</v>
      </c>
      <c r="M127" s="74" t="s">
        <v>3614</v>
      </c>
      <c r="N127" s="205" t="s">
        <v>4207</v>
      </c>
      <c r="O127" s="26"/>
      <c r="P127" s="26" t="s">
        <v>2906</v>
      </c>
      <c r="Q127" s="259" t="s">
        <v>4208</v>
      </c>
      <c r="R127" s="259" t="s">
        <v>3867</v>
      </c>
    </row>
    <row r="128" spans="1:18" ht="87.75" customHeight="1">
      <c r="A128" s="220" t="s">
        <v>3605</v>
      </c>
      <c r="B128" s="66">
        <v>1009</v>
      </c>
      <c r="C128" s="26" t="s">
        <v>3869</v>
      </c>
      <c r="D128" s="26" t="s">
        <v>3607</v>
      </c>
      <c r="E128" s="39" t="s">
        <v>20</v>
      </c>
      <c r="F128" s="30" t="s">
        <v>31</v>
      </c>
      <c r="G128" s="205" t="s">
        <v>3870</v>
      </c>
      <c r="H128" s="205" t="s">
        <v>3871</v>
      </c>
      <c r="I128" s="218" t="s">
        <v>3872</v>
      </c>
      <c r="J128" s="206" t="s">
        <v>3873</v>
      </c>
      <c r="K128" s="217" t="s">
        <v>3874</v>
      </c>
      <c r="L128" s="205" t="s">
        <v>4209</v>
      </c>
      <c r="M128" s="74" t="s">
        <v>3614</v>
      </c>
      <c r="N128" s="205" t="s">
        <v>4210</v>
      </c>
      <c r="O128" s="26"/>
      <c r="P128" s="26" t="s">
        <v>2906</v>
      </c>
      <c r="Q128" s="259" t="s">
        <v>4211</v>
      </c>
      <c r="R128" s="259" t="s">
        <v>3878</v>
      </c>
    </row>
    <row r="129" spans="1:18" ht="87.75" customHeight="1">
      <c r="A129" s="220" t="s">
        <v>3605</v>
      </c>
      <c r="B129" s="66">
        <v>2051</v>
      </c>
      <c r="C129" s="26" t="s">
        <v>3880</v>
      </c>
      <c r="D129" s="26" t="s">
        <v>3607</v>
      </c>
      <c r="E129" s="39" t="s">
        <v>19</v>
      </c>
      <c r="F129" s="30" t="s">
        <v>19</v>
      </c>
      <c r="G129" s="205" t="s">
        <v>3881</v>
      </c>
      <c r="H129" s="205" t="s">
        <v>3882</v>
      </c>
      <c r="I129" s="218" t="s">
        <v>3883</v>
      </c>
      <c r="J129" s="206" t="s">
        <v>3884</v>
      </c>
      <c r="K129" s="217" t="s">
        <v>848</v>
      </c>
      <c r="L129" s="205" t="s">
        <v>4212</v>
      </c>
      <c r="M129" s="74" t="s">
        <v>3614</v>
      </c>
      <c r="N129" s="205" t="s">
        <v>4213</v>
      </c>
      <c r="O129" s="26"/>
      <c r="P129" s="26" t="s">
        <v>2906</v>
      </c>
      <c r="Q129" s="259" t="s">
        <v>4214</v>
      </c>
      <c r="R129" s="259" t="s">
        <v>3888</v>
      </c>
    </row>
    <row r="130" spans="1:18" ht="87.75" customHeight="1">
      <c r="A130" s="220" t="s">
        <v>3605</v>
      </c>
      <c r="B130" s="66">
        <v>5004</v>
      </c>
      <c r="C130" s="26" t="s">
        <v>4189</v>
      </c>
      <c r="D130" s="26" t="s">
        <v>3607</v>
      </c>
      <c r="E130" s="39" t="s">
        <v>20</v>
      </c>
      <c r="F130" s="30" t="s">
        <v>19</v>
      </c>
      <c r="G130" s="205" t="s">
        <v>3890</v>
      </c>
      <c r="H130" s="205" t="s">
        <v>3891</v>
      </c>
      <c r="I130" s="218" t="s">
        <v>3892</v>
      </c>
      <c r="J130" s="206" t="s">
        <v>3893</v>
      </c>
      <c r="K130" s="217" t="s">
        <v>3894</v>
      </c>
      <c r="L130" s="205" t="s">
        <v>4215</v>
      </c>
      <c r="M130" s="74" t="s">
        <v>3614</v>
      </c>
      <c r="N130" s="205" t="s">
        <v>4216</v>
      </c>
      <c r="O130" s="26"/>
      <c r="P130" s="26" t="s">
        <v>2906</v>
      </c>
      <c r="Q130" s="259" t="s">
        <v>4217</v>
      </c>
      <c r="R130" s="259" t="s">
        <v>3897</v>
      </c>
    </row>
    <row r="131" spans="1:18" ht="87.75" customHeight="1">
      <c r="A131" s="220" t="s">
        <v>3605</v>
      </c>
      <c r="B131" s="66">
        <v>5008</v>
      </c>
      <c r="C131" s="26" t="s">
        <v>3898</v>
      </c>
      <c r="D131" s="26" t="s">
        <v>3607</v>
      </c>
      <c r="E131" s="39" t="s">
        <v>20</v>
      </c>
      <c r="F131" s="30" t="s">
        <v>31</v>
      </c>
      <c r="G131" s="205" t="s">
        <v>3899</v>
      </c>
      <c r="H131" s="205" t="s">
        <v>3900</v>
      </c>
      <c r="I131" s="218" t="s">
        <v>3901</v>
      </c>
      <c r="J131" s="206" t="s">
        <v>3902</v>
      </c>
      <c r="K131" s="217" t="s">
        <v>848</v>
      </c>
      <c r="L131" s="205" t="s">
        <v>4218</v>
      </c>
      <c r="M131" s="74" t="s">
        <v>3614</v>
      </c>
      <c r="N131" s="205" t="s">
        <v>4219</v>
      </c>
      <c r="O131" s="26"/>
      <c r="P131" s="26" t="s">
        <v>2906</v>
      </c>
      <c r="Q131" s="259" t="s">
        <v>4220</v>
      </c>
      <c r="R131" s="259" t="s">
        <v>3906</v>
      </c>
    </row>
    <row r="132" spans="1:18" ht="87.75" customHeight="1">
      <c r="A132" s="220" t="s">
        <v>3605</v>
      </c>
      <c r="B132" s="66">
        <v>1013</v>
      </c>
      <c r="C132" s="26" t="s">
        <v>3908</v>
      </c>
      <c r="D132" s="26" t="s">
        <v>3607</v>
      </c>
      <c r="E132" s="39" t="s">
        <v>20</v>
      </c>
      <c r="F132" s="30" t="s">
        <v>31</v>
      </c>
      <c r="G132" s="205" t="s">
        <v>3909</v>
      </c>
      <c r="H132" s="205" t="s">
        <v>3910</v>
      </c>
      <c r="I132" s="218" t="s">
        <v>3911</v>
      </c>
      <c r="J132" s="206" t="s">
        <v>3912</v>
      </c>
      <c r="K132" s="217" t="s">
        <v>3913</v>
      </c>
      <c r="L132" s="205" t="s">
        <v>4221</v>
      </c>
      <c r="M132" s="74" t="s">
        <v>3614</v>
      </c>
      <c r="N132" s="205" t="s">
        <v>4222</v>
      </c>
      <c r="O132" s="26"/>
      <c r="P132" s="26" t="s">
        <v>2906</v>
      </c>
      <c r="Q132" s="259" t="s">
        <v>4223</v>
      </c>
      <c r="R132" s="259" t="s">
        <v>3917</v>
      </c>
    </row>
    <row r="133" spans="1:18" ht="87.75" customHeight="1">
      <c r="A133" s="219" t="s">
        <v>3646</v>
      </c>
      <c r="B133" s="66">
        <v>7045</v>
      </c>
      <c r="C133" s="263" t="s">
        <v>4224</v>
      </c>
      <c r="D133" s="26" t="s">
        <v>1096</v>
      </c>
      <c r="E133" s="39" t="s">
        <v>84</v>
      </c>
      <c r="F133" s="30" t="s">
        <v>31</v>
      </c>
      <c r="G133" s="205" t="s">
        <v>4225</v>
      </c>
      <c r="H133" s="205" t="s">
        <v>4226</v>
      </c>
      <c r="I133" s="218" t="s">
        <v>4227</v>
      </c>
      <c r="J133" s="206" t="s">
        <v>4228</v>
      </c>
      <c r="K133" s="217" t="s">
        <v>4229</v>
      </c>
      <c r="L133" s="205" t="s">
        <v>4230</v>
      </c>
      <c r="M133" s="74" t="s">
        <v>3352</v>
      </c>
      <c r="N133" s="205" t="s">
        <v>4231</v>
      </c>
      <c r="O133" s="26"/>
      <c r="P133" s="26" t="s">
        <v>2906</v>
      </c>
      <c r="Q133" s="259" t="s">
        <v>4232</v>
      </c>
      <c r="R133" s="259" t="s">
        <v>4233</v>
      </c>
    </row>
    <row r="134" spans="1:18" ht="87.75" customHeight="1">
      <c r="A134" s="219" t="s">
        <v>4234</v>
      </c>
      <c r="B134" s="66">
        <v>5861</v>
      </c>
      <c r="C134" s="263" t="s">
        <v>4235</v>
      </c>
      <c r="D134" s="26" t="s">
        <v>4236</v>
      </c>
      <c r="E134" s="39" t="s">
        <v>84</v>
      </c>
      <c r="F134" s="30" t="s">
        <v>89</v>
      </c>
      <c r="G134" s="205" t="s">
        <v>4237</v>
      </c>
      <c r="H134" s="205" t="s">
        <v>4238</v>
      </c>
      <c r="I134" s="218" t="s">
        <v>4239</v>
      </c>
      <c r="J134" s="206" t="s">
        <v>4240</v>
      </c>
      <c r="K134" s="217" t="s">
        <v>4241</v>
      </c>
      <c r="L134" s="205" t="s">
        <v>4242</v>
      </c>
      <c r="M134" s="74" t="s">
        <v>4243</v>
      </c>
      <c r="N134" s="205" t="s">
        <v>4244</v>
      </c>
      <c r="O134" s="26"/>
      <c r="P134" s="26" t="s">
        <v>2906</v>
      </c>
      <c r="Q134" s="259" t="s">
        <v>4245</v>
      </c>
      <c r="R134" s="259" t="s">
        <v>4246</v>
      </c>
    </row>
    <row r="135" spans="1:18" ht="87.75" customHeight="1">
      <c r="A135" s="219" t="s">
        <v>4234</v>
      </c>
      <c r="B135" s="66">
        <v>5857</v>
      </c>
      <c r="C135" s="26" t="s">
        <v>4247</v>
      </c>
      <c r="D135" s="26" t="s">
        <v>4236</v>
      </c>
      <c r="E135" s="39" t="s">
        <v>19</v>
      </c>
      <c r="F135" s="30" t="s">
        <v>19</v>
      </c>
      <c r="G135" s="205" t="s">
        <v>4248</v>
      </c>
      <c r="H135" s="205" t="s">
        <v>4249</v>
      </c>
      <c r="I135" s="218" t="s">
        <v>4250</v>
      </c>
      <c r="J135" s="206" t="s">
        <v>4251</v>
      </c>
      <c r="K135" s="217" t="s">
        <v>4252</v>
      </c>
      <c r="L135" s="205" t="s">
        <v>4253</v>
      </c>
      <c r="M135" s="74" t="s">
        <v>4254</v>
      </c>
      <c r="N135" s="205" t="s">
        <v>4255</v>
      </c>
      <c r="O135" s="26"/>
      <c r="P135" s="26" t="s">
        <v>2906</v>
      </c>
      <c r="Q135" s="259" t="s">
        <v>4256</v>
      </c>
      <c r="R135" s="259" t="s">
        <v>4257</v>
      </c>
    </row>
    <row r="136" spans="1:18" ht="87.75" customHeight="1">
      <c r="A136" s="219" t="s">
        <v>4234</v>
      </c>
      <c r="B136" s="66">
        <v>91</v>
      </c>
      <c r="C136" s="263" t="s">
        <v>4258</v>
      </c>
      <c r="D136" s="26" t="s">
        <v>4259</v>
      </c>
      <c r="E136" s="39" t="s">
        <v>20</v>
      </c>
      <c r="F136" s="30" t="s">
        <v>31</v>
      </c>
      <c r="G136" s="205" t="s">
        <v>4260</v>
      </c>
      <c r="H136" s="205" t="s">
        <v>4261</v>
      </c>
      <c r="I136" s="218" t="s">
        <v>4262</v>
      </c>
      <c r="J136" s="206" t="s">
        <v>4263</v>
      </c>
      <c r="K136" s="217" t="s">
        <v>4264</v>
      </c>
      <c r="L136" s="205" t="s">
        <v>4265</v>
      </c>
      <c r="M136" s="74" t="s">
        <v>4266</v>
      </c>
      <c r="N136" s="205" t="s">
        <v>4267</v>
      </c>
      <c r="O136" s="26"/>
      <c r="P136" s="26" t="s">
        <v>2906</v>
      </c>
      <c r="Q136" s="259" t="s">
        <v>4268</v>
      </c>
      <c r="R136" s="259" t="s">
        <v>4269</v>
      </c>
    </row>
    <row r="137" spans="1:18" ht="87.75" customHeight="1">
      <c r="A137" s="219" t="s">
        <v>4234</v>
      </c>
      <c r="B137" s="66">
        <v>168</v>
      </c>
      <c r="C137" s="26" t="s">
        <v>4270</v>
      </c>
      <c r="D137" s="26" t="s">
        <v>4259</v>
      </c>
      <c r="E137" s="39" t="s">
        <v>19</v>
      </c>
      <c r="F137" s="30" t="s">
        <v>31</v>
      </c>
      <c r="G137" s="205" t="s">
        <v>4271</v>
      </c>
      <c r="H137" s="205" t="s">
        <v>4272</v>
      </c>
      <c r="I137" s="218" t="s">
        <v>4273</v>
      </c>
      <c r="J137" s="206" t="s">
        <v>4274</v>
      </c>
      <c r="K137" s="217" t="s">
        <v>1951</v>
      </c>
      <c r="L137" s="205" t="s">
        <v>4275</v>
      </c>
      <c r="M137" s="74" t="s">
        <v>4266</v>
      </c>
      <c r="N137" s="205" t="s">
        <v>4276</v>
      </c>
      <c r="O137" s="26"/>
      <c r="P137" s="26" t="s">
        <v>2906</v>
      </c>
      <c r="Q137" s="259" t="s">
        <v>4277</v>
      </c>
      <c r="R137" s="259" t="s">
        <v>4278</v>
      </c>
    </row>
    <row r="138" spans="1:18" ht="87.75" customHeight="1">
      <c r="A138" s="219" t="s">
        <v>4279</v>
      </c>
      <c r="B138" s="66">
        <v>59</v>
      </c>
      <c r="C138" s="263" t="s">
        <v>4280</v>
      </c>
      <c r="D138" s="26" t="s">
        <v>4281</v>
      </c>
      <c r="E138" s="39" t="s">
        <v>20</v>
      </c>
      <c r="F138" s="30" t="s">
        <v>19</v>
      </c>
      <c r="G138" s="205" t="s">
        <v>4282</v>
      </c>
      <c r="H138" s="205" t="s">
        <v>4283</v>
      </c>
      <c r="I138" s="218" t="s">
        <v>4284</v>
      </c>
      <c r="J138" s="206" t="s">
        <v>4285</v>
      </c>
      <c r="K138" s="217" t="s">
        <v>4286</v>
      </c>
      <c r="L138" s="205" t="s">
        <v>4287</v>
      </c>
      <c r="M138" s="74" t="s">
        <v>4288</v>
      </c>
      <c r="N138" s="205" t="s">
        <v>4289</v>
      </c>
      <c r="O138" s="26"/>
      <c r="P138" s="26" t="s">
        <v>2906</v>
      </c>
      <c r="Q138" s="259" t="s">
        <v>4290</v>
      </c>
      <c r="R138" s="259" t="s">
        <v>4291</v>
      </c>
    </row>
    <row r="139" spans="1:18" ht="87.75" customHeight="1">
      <c r="A139" s="219" t="s">
        <v>4292</v>
      </c>
      <c r="B139" s="66">
        <v>8004</v>
      </c>
      <c r="C139" s="263" t="s">
        <v>4293</v>
      </c>
      <c r="D139" s="26" t="s">
        <v>4294</v>
      </c>
      <c r="E139" s="39" t="s">
        <v>20</v>
      </c>
      <c r="F139" s="30" t="s">
        <v>31</v>
      </c>
      <c r="G139" s="205" t="s">
        <v>4295</v>
      </c>
      <c r="H139" s="205" t="s">
        <v>4296</v>
      </c>
      <c r="I139" s="218" t="s">
        <v>4297</v>
      </c>
      <c r="J139" s="206" t="s">
        <v>4298</v>
      </c>
      <c r="K139" s="217" t="s">
        <v>4299</v>
      </c>
      <c r="L139" s="205" t="s">
        <v>4300</v>
      </c>
      <c r="M139" s="74" t="s">
        <v>4301</v>
      </c>
      <c r="N139" s="205" t="s">
        <v>4302</v>
      </c>
      <c r="O139" s="26"/>
      <c r="P139" s="26" t="s">
        <v>2906</v>
      </c>
      <c r="Q139" s="259" t="s">
        <v>4303</v>
      </c>
      <c r="R139" s="259" t="s">
        <v>4304</v>
      </c>
    </row>
    <row r="140" spans="1:18" ht="87.75" customHeight="1">
      <c r="A140" s="219" t="s">
        <v>4292</v>
      </c>
      <c r="B140" s="66">
        <v>8003</v>
      </c>
      <c r="C140" s="26" t="s">
        <v>4305</v>
      </c>
      <c r="D140" s="26" t="s">
        <v>4294</v>
      </c>
      <c r="E140" s="39" t="s">
        <v>19</v>
      </c>
      <c r="F140" s="30" t="s">
        <v>19</v>
      </c>
      <c r="G140" s="205" t="s">
        <v>4306</v>
      </c>
      <c r="H140" s="205" t="s">
        <v>4307</v>
      </c>
      <c r="I140" s="218" t="s">
        <v>4308</v>
      </c>
      <c r="J140" s="206" t="s">
        <v>4309</v>
      </c>
      <c r="K140" s="217" t="s">
        <v>4299</v>
      </c>
      <c r="L140" s="205" t="s">
        <v>4310</v>
      </c>
      <c r="M140" s="74" t="s">
        <v>4301</v>
      </c>
      <c r="N140" s="205" t="s">
        <v>4311</v>
      </c>
      <c r="O140" s="26"/>
      <c r="P140" s="26" t="s">
        <v>2906</v>
      </c>
      <c r="Q140" s="259" t="s">
        <v>4312</v>
      </c>
      <c r="R140" s="259" t="s">
        <v>4313</v>
      </c>
    </row>
    <row r="141" spans="1:18" ht="87.75" customHeight="1">
      <c r="A141" s="219" t="s">
        <v>4292</v>
      </c>
      <c r="B141" s="66">
        <v>3077</v>
      </c>
      <c r="C141" s="26" t="s">
        <v>4314</v>
      </c>
      <c r="D141" s="26" t="s">
        <v>4315</v>
      </c>
      <c r="E141" s="39" t="s">
        <v>20</v>
      </c>
      <c r="F141" s="30" t="s">
        <v>31</v>
      </c>
      <c r="G141" s="205" t="s">
        <v>4316</v>
      </c>
      <c r="H141" s="205" t="s">
        <v>4317</v>
      </c>
      <c r="I141" s="218" t="s">
        <v>4318</v>
      </c>
      <c r="J141" s="206" t="s">
        <v>4319</v>
      </c>
      <c r="K141" s="217" t="s">
        <v>4320</v>
      </c>
      <c r="L141" s="205" t="s">
        <v>4321</v>
      </c>
      <c r="M141" s="74" t="s">
        <v>4322</v>
      </c>
      <c r="N141" s="205" t="s">
        <v>4323</v>
      </c>
      <c r="O141" s="26"/>
      <c r="P141" s="26" t="s">
        <v>2906</v>
      </c>
      <c r="Q141" s="259" t="s">
        <v>4324</v>
      </c>
      <c r="R141" s="259" t="s">
        <v>4325</v>
      </c>
    </row>
    <row r="142" spans="1:18" ht="87.75" customHeight="1">
      <c r="A142" s="219" t="s">
        <v>4292</v>
      </c>
      <c r="B142" s="66">
        <v>3076</v>
      </c>
      <c r="C142" s="26" t="s">
        <v>4326</v>
      </c>
      <c r="D142" s="26" t="s">
        <v>4315</v>
      </c>
      <c r="E142" s="39" t="s">
        <v>19</v>
      </c>
      <c r="F142" s="30" t="s">
        <v>19</v>
      </c>
      <c r="G142" s="205" t="s">
        <v>4327</v>
      </c>
      <c r="H142" s="205" t="s">
        <v>4328</v>
      </c>
      <c r="I142" s="218" t="s">
        <v>4329</v>
      </c>
      <c r="J142" s="206" t="s">
        <v>4330</v>
      </c>
      <c r="K142" s="217" t="s">
        <v>4331</v>
      </c>
      <c r="L142" s="205" t="s">
        <v>4332</v>
      </c>
      <c r="M142" s="74" t="s">
        <v>4322</v>
      </c>
      <c r="N142" s="205" t="s">
        <v>4333</v>
      </c>
      <c r="O142" s="26"/>
      <c r="P142" s="26" t="s">
        <v>2906</v>
      </c>
      <c r="Q142" s="259" t="s">
        <v>4334</v>
      </c>
      <c r="R142" s="259" t="s">
        <v>4335</v>
      </c>
    </row>
    <row r="143" spans="1:18" ht="87.75" customHeight="1">
      <c r="A143" s="219" t="s">
        <v>16</v>
      </c>
      <c r="B143" s="66">
        <v>4964</v>
      </c>
      <c r="C143" s="263" t="s">
        <v>4336</v>
      </c>
      <c r="D143" s="26" t="s">
        <v>18</v>
      </c>
      <c r="E143" s="39" t="s">
        <v>20</v>
      </c>
      <c r="F143" s="30" t="s">
        <v>31</v>
      </c>
      <c r="G143" s="205" t="s">
        <v>4337</v>
      </c>
      <c r="H143" s="205" t="s">
        <v>4338</v>
      </c>
      <c r="I143" s="218" t="s">
        <v>4339</v>
      </c>
      <c r="J143" s="206" t="s">
        <v>4340</v>
      </c>
      <c r="K143" s="217" t="s">
        <v>4341</v>
      </c>
      <c r="L143" s="205" t="s">
        <v>4342</v>
      </c>
      <c r="M143" s="74" t="s">
        <v>4343</v>
      </c>
      <c r="N143" s="205" t="s">
        <v>4344</v>
      </c>
      <c r="O143" s="26"/>
      <c r="P143" s="26" t="s">
        <v>2906</v>
      </c>
      <c r="Q143" s="259" t="s">
        <v>4345</v>
      </c>
      <c r="R143" s="259" t="s">
        <v>4346</v>
      </c>
    </row>
    <row r="144" spans="1:18" ht="87.75" customHeight="1">
      <c r="A144" s="219" t="s">
        <v>3943</v>
      </c>
      <c r="B144" s="66">
        <v>5379</v>
      </c>
      <c r="C144" s="26" t="s">
        <v>4347</v>
      </c>
      <c r="D144" s="26" t="s">
        <v>18</v>
      </c>
      <c r="E144" s="39" t="s">
        <v>19</v>
      </c>
      <c r="F144" s="30" t="s">
        <v>19</v>
      </c>
      <c r="G144" s="205" t="s">
        <v>4348</v>
      </c>
      <c r="H144" s="205" t="s">
        <v>4349</v>
      </c>
      <c r="I144" s="218" t="s">
        <v>4350</v>
      </c>
      <c r="J144" s="206" t="s">
        <v>4351</v>
      </c>
      <c r="K144" s="217" t="s">
        <v>4352</v>
      </c>
      <c r="L144" s="205" t="s">
        <v>4353</v>
      </c>
      <c r="M144" s="74" t="s">
        <v>4354</v>
      </c>
      <c r="N144" s="205" t="s">
        <v>4355</v>
      </c>
      <c r="O144" s="26"/>
      <c r="P144" s="26" t="s">
        <v>2906</v>
      </c>
      <c r="Q144" s="259" t="s">
        <v>4356</v>
      </c>
      <c r="R144" s="259" t="s">
        <v>4357</v>
      </c>
    </row>
    <row r="145" spans="1:18" ht="87.75" customHeight="1">
      <c r="A145" s="219" t="s">
        <v>153</v>
      </c>
      <c r="B145" s="66">
        <v>4985</v>
      </c>
      <c r="C145" s="26" t="s">
        <v>4358</v>
      </c>
      <c r="D145" s="26" t="s">
        <v>18</v>
      </c>
      <c r="E145" s="39" t="s">
        <v>31</v>
      </c>
      <c r="F145" s="30" t="s">
        <v>20</v>
      </c>
      <c r="G145" s="205" t="s">
        <v>4359</v>
      </c>
      <c r="H145" s="205" t="s">
        <v>4360</v>
      </c>
      <c r="I145" s="218" t="s">
        <v>4361</v>
      </c>
      <c r="J145" s="206" t="s">
        <v>4362</v>
      </c>
      <c r="K145" s="217" t="s">
        <v>4363</v>
      </c>
      <c r="L145" s="205" t="s">
        <v>4364</v>
      </c>
      <c r="M145" s="74" t="s">
        <v>4365</v>
      </c>
      <c r="N145" s="205" t="s">
        <v>4366</v>
      </c>
      <c r="O145" s="26"/>
      <c r="P145" s="26" t="s">
        <v>2906</v>
      </c>
      <c r="Q145" s="259" t="s">
        <v>4367</v>
      </c>
      <c r="R145" s="259" t="s">
        <v>4368</v>
      </c>
    </row>
  </sheetData>
  <autoFilter ref="C1:C76" xr:uid="{EB15344D-0E8A-4D2E-9D24-E475E82AE46A}">
    <sortState xmlns:xlrd2="http://schemas.microsoft.com/office/spreadsheetml/2017/richdata2" ref="A2:R76">
      <sortCondition sortBy="cellColor" ref="C1:C76" dxfId="0"/>
    </sortState>
  </autoFilter>
  <hyperlinks>
    <hyperlink ref="M24" r:id="rId1" display="https://learn.microsoft.com/en-us/previous-versions/windows/it-pro/windows-10/security/threat-protection/auditing/event-4768{abcFF}" xr:uid="{DB712940-33FC-4D73-9736-AC9D92134DB0}"/>
    <hyperlink ref="M2" r:id="rId2" display="https://learn.microsoft.com/en-us/previous-versions/windows/it-pro/windows-10/security/threat-protection/auditing/event-4624" xr:uid="{EDA9EA0A-1EE7-43FF-90E1-493199EAE7BB}"/>
    <hyperlink ref="M64" r:id="rId3" display="https://learn.microsoft.com/en-us/previous-versions/windows/it-pro/windows-10/security/threat-protection/auditing/event-552" xr:uid="{04CBFCEC-09C3-4046-AAD8-1E67F93B4DEC}"/>
    <hyperlink ref="M3" r:id="rId4" display="https://learn.microsoft.com/en-us/previous-versions/windows/it-pro/windows-10/security/threat-protection/auditing/event-4625" xr:uid="{5FC4C79B-7450-49BA-9B88-0FD9F8D36F97}"/>
    <hyperlink ref="M25" r:id="rId5" display="https://learn.microsoft.com/en-us/previous-versions/windows/it-pro/windows-10/security/threat-protection/auditing/event-4648" xr:uid="{D55C436D-D9E7-4690-BF6A-0B53A9F76ECF}"/>
    <hyperlink ref="M26" r:id="rId6" display="https://learn.microsoft.com/en-us/previous-versions/windows/it-pro/windows-10/security/threat-protection/auditing/event-4769" xr:uid="{A9FF0EA5-1DD6-442F-9C2E-47CC8B1A3B75}"/>
    <hyperlink ref="M13" r:id="rId7" display="https://learn.microsoft.com/en-us/previous-versions/windows/it-pro/windows-10/security/threat-protection/auditing/event-4776" xr:uid="{72E51DCF-6806-471A-91A4-E402CD909E0F}"/>
    <hyperlink ref="M22" r:id="rId8" display="https://learn.microsoft.com/en-us/previous-versions/windows/it-pro/windows-10/security/threat-protection/auditing/event-4740" xr:uid="{232C918E-7BE1-403B-83BC-2F1A1DEFFDD9}"/>
    <hyperlink ref="M27" r:id="rId9" display="https://learn.microsoft.com/en-us/previous-versions/windows/it-pro/windows-10/security/threat-protection/auditing/event-4725" xr:uid="{D1AEB2DA-1046-464C-90FC-69BA2513DA2C}"/>
    <hyperlink ref="M28" r:id="rId10" display="https://learn.microsoft.com/en-us/previous-versions/windows/it-pro/windows-10/security/threat-protection/auditing/event-4724" xr:uid="{8CDF96C2-9E03-4FA7-83B4-09427CF547AF}"/>
    <hyperlink ref="M29" r:id="rId11" display="https://learn.microsoft.com/en-us/previous-versions/windows/it-pro/windows-10/security/threat-protection/auditing/event-4722" xr:uid="{621FD779-E1E3-489E-AD59-889669343C4E}"/>
    <hyperlink ref="M14" r:id="rId12" display="https://learn.microsoft.com/en-us/previous-versions/windows/it-pro/windows-10/security/threat-protection/auditing/event-4720" xr:uid="{8A5EFA69-D4A5-44A7-929E-F17AA13F26A3}"/>
    <hyperlink ref="M23" r:id="rId13" display="https://learn.microsoft.com/en-us/previous-versions/windows/it-pro/windows-10/security/threat-protection/auditing/event-4726" xr:uid="{CBBB0E9C-3FCB-4D6F-9D66-EE7A098F24BF}"/>
    <hyperlink ref="M30" r:id="rId14" display="https://learn.microsoft.com/en-us/previous-versions/windows/it-pro/windows-10/security/threat-protection/auditing/event-4728" xr:uid="{67266217-97AC-405B-869C-31DF6B956FC6}"/>
    <hyperlink ref="M31" r:id="rId15" display="https://learn.microsoft.com/en-us/previous-versions/windows/it-pro/windows-10/security/threat-protection/auditing/event-4729" xr:uid="{A823A306-71EE-42A9-AFDE-D20DDD30E4DD}"/>
    <hyperlink ref="M32" r:id="rId16" display="https://learn.microsoft.com/en-us/previous-versions/windows/it-pro/windows-10/security/threat-protection/auditing/event-4732" xr:uid="{625D060B-3D89-4B14-B08B-12D668B7F96D}"/>
    <hyperlink ref="M33" r:id="rId17" display="https://learn.microsoft.com/en-us/previous-versions/windows/it-pro/windows-10/security/threat-protection/auditing/event-4689" xr:uid="{59BD6075-ADC7-4308-8558-2567BEAD1CBF}"/>
    <hyperlink ref="M4" r:id="rId18" display="https://learn.microsoft.com/en-us/previous-versions/windows/it-pro/windows-10/security/threat-protection/auditing/event-4688" xr:uid="{FE8D650E-6AA9-422D-AD80-8ABFA052A805}"/>
    <hyperlink ref="M15" r:id="rId19" display="https://learn.microsoft.com/en-us/previous-versions/windows/it-pro/windows-10/security/threat-protection/auditing/event-4697" xr:uid="{F324DE8D-444E-44BA-90E8-B23BFFE8AF78}"/>
    <hyperlink ref="M8" r:id="rId20" display="https://learn.microsoft.com/en-us/previous-versions/windows/it-pro/windows-10/security/threat-protection/auditing/event-4698" xr:uid="{52EA3938-3D3B-4D46-B149-EEAA564B248B}"/>
    <hyperlink ref="M34" r:id="rId21" display="https://learn.microsoft.com/en-us/previous-versions/windows/it-pro/windows-10/security/threat-protection/auditing/event-4702" xr:uid="{F58962A8-1D43-4031-9E42-A288969125E1}"/>
    <hyperlink ref="M35" r:id="rId22" display="https://learn.microsoft.com/en-us/previous-versions/windows/it-pro/windows-10/security/threat-protection/auditing/event-4656" xr:uid="{70AC77D0-811C-404F-816F-72B8E4FDD15E}"/>
    <hyperlink ref="M10" r:id="rId23" display="https://learn.microsoft.com/en-us/previous-versions/windows/it-pro/windows-10/security/threat-protection/auditing/event-4657" xr:uid="{7E2AA6EB-AC34-444B-ACD7-87CA1F8881A8}"/>
    <hyperlink ref="M36" r:id="rId24" display="https://learn.microsoft.com/en-us/previous-versions/windows/it-pro/windows-10/security/threat-protection/auditing/event-4663" xr:uid="{8B218821-2AEC-4B6D-9DBB-1148797C1CB3}"/>
    <hyperlink ref="M37" r:id="rId25" display="https://learn.microsoft.com/en-us/previous-versions/windows/it-pro/windows-10/security/threat-protection/auditing/event-4662" xr:uid="{36D056B8-D67C-47AE-94B1-A38620B26A5B}"/>
    <hyperlink ref="M16" r:id="rId26" display="https://learn.microsoft.com/en-us/previous-versions/windows/it-pro/windows-10/security/threat-protection/auditing/event-4672" xr:uid="{7273C4CB-F213-41B3-9681-3E314FCFB661}"/>
    <hyperlink ref="M38" r:id="rId27" display="https://learn.microsoft.com/en-us/previous-versions/windows/it-pro/windows-10/security/threat-protection/auditing/event-4673" xr:uid="{D3A1ECD0-3629-48C8-8BA0-1219569FEAF3}"/>
    <hyperlink ref="M39" r:id="rId28" display="https://learn.microsoft.com/en-us/previous-versions/windows/it-pro/windows-10/security/threat-protection/auditing/event-4608" xr:uid="{CB08A5FF-D074-4514-AA36-D665FDB9E196}"/>
    <hyperlink ref="M40" r:id="rId29" display="https://learn.microsoft.com/en-us/previous-versions/windows/it-pro/windows-10/security/threat-protection/auditing/event-4616" xr:uid="{ED5ACB0C-5B2A-4CCE-ACC2-78740A52CBF7}"/>
    <hyperlink ref="M5" r:id="rId30" display="https://learn.microsoft.com/en-us/previous-versions/windows/it-pro/windows-10/security/threat-protection/auditing/event-1102" xr:uid="{6C912035-610F-4BC2-85CB-E8B3937BDFC0}"/>
    <hyperlink ref="M11" r:id="rId31" display="https://learn.microsoft.com/en-us/previous-versions/windows/it-pro/windows-10/security/threat-protection/auditing/event-4946" xr:uid="{0F5C66F4-2DA3-47D7-A44D-FB5CBD0AA0CF}"/>
    <hyperlink ref="M17" r:id="rId32" display="https://learn.microsoft.com/en-us/previous-versions/windows/it-pro/windows-10/security/threat-protection/auditing/event-5156" xr:uid="{A8A95EB5-6DF6-4BF4-891E-4A6095055756}"/>
    <hyperlink ref="M41" r:id="rId33" display="https://learn.microsoft.com/en-us/previous-versions/windows/it-pro/windows-10/security/threat-protection/auditing/event-4947" xr:uid="{09B7C795-BD78-46FD-8F4E-221F9350E0E9}"/>
    <hyperlink ref="M42" r:id="rId34" display="https://learn.microsoft.com/en-us/previous-versions/windows/it-pro/windows-10/security/threat-protection/auditing/event-5157" xr:uid="{34F61B70-AA57-4A51-AA44-A034F60121BE}"/>
    <hyperlink ref="M18" r:id="rId35" display="https://learn.microsoft.com/en-us/previous-versions/windows/it-pro/windows-10/security/threat-protection/auditing/event-4103" xr:uid="{06F499AA-D4BC-4B6B-80D4-00792F653C74}"/>
    <hyperlink ref="M43" r:id="rId36" display="https://learn.microsoft.com/en-us/previous-versions/windows/it-pro/windows-10/security/threat-protection/auditing/event-4778" xr:uid="{B152632C-D671-4846-8098-92C2FAB59954}"/>
    <hyperlink ref="M44" r:id="rId37" display="https://learn.microsoft.com/en-us/previous-versions/windows/it-pro/windows-10/security/threat-protection/auditing/event-4779" xr:uid="{B30EC2F3-9283-4EAD-87D2-5D18540A8E77}"/>
    <hyperlink ref="M45" r:id="rId38" display="https://learn.microsoft.com/en-us/previous-versions/windows/it-pro/windows-10/security/threat-protection/auditing/event-4800" xr:uid="{31A4C5C4-FDB6-47EF-965B-43945074334E}"/>
    <hyperlink ref="M46" r:id="rId39" display="https://learn.microsoft.com/en-us/previous-versions/windows/it-pro/windows-10/security/threat-protection/auditing/event-4801" xr:uid="{9AA7626A-8188-4DE4-B73E-B1D4A8312867}"/>
    <hyperlink ref="M47" r:id="rId40" display="https://learn.microsoft.com/en-us/previous-versions/windows/it-pro/windows-10/security/threat-protection/auditing/event-4771" xr:uid="{9090F3F5-6D23-451F-884E-BC0C9665CD55}"/>
    <hyperlink ref="M48" r:id="rId41" display="https://learn.microsoft.com/en-us/previous-versions/windows/it-pro/windows-10/security/threat-protection/auditing/event-4767" xr:uid="{FA018CC2-38D3-4DFE-BBC9-0B870C358DDC}"/>
    <hyperlink ref="M49" r:id="rId42" display="https://learn.microsoft.com/en-us/previous-versions/windows/it-pro/windows-10/security/threat-protection/auditing/event-4738" xr:uid="{AFDA479D-0CA0-481E-B37E-B2F82BC9FAC3}"/>
    <hyperlink ref="M50" r:id="rId43" display="https://learn.microsoft.com/en-us/previous-versions/windows/it-pro/windows-10/security/threat-protection/auditing/event-4754" xr:uid="{58362A96-56EB-4A75-96F6-6B0A1D767774}"/>
    <hyperlink ref="M51" r:id="rId44" display="https://learn.microsoft.com/en-us/previous-versions/windows/it-pro/windows-10/security/threat-protection/auditing/event-4755" xr:uid="{12DC8778-638B-4037-A1E6-D024527833E2}"/>
    <hyperlink ref="M52" r:id="rId45" display="https://learn.microsoft.com/en-us/previous-versions/windows/it-pro/windows-10/security/threat-protection/auditing/event-4670" xr:uid="{4DFC11D2-7410-48E2-9194-A9ACAD92E6CF}"/>
    <hyperlink ref="M53" r:id="rId46" display="https://learn.microsoft.com/en-us/previous-versions/windows/it-pro/windows-10/security/threat-protection/auditing/event-4912" xr:uid="{E9855BD3-2C59-47A6-9378-3EE63746BB58}"/>
    <hyperlink ref="M54" r:id="rId47" display="https://learn.microsoft.com/en-us/previous-versions/windows/it-pro/windows-10/security/threat-protection/auditing/event-4715" xr:uid="{3901EA92-2808-4AAC-BE75-CCC7D86135A1}"/>
    <hyperlink ref="M55" r:id="rId48" display="https://learn.microsoft.com/en-us/previous-versions/windows/it-pro/windows-10/security/threat-protection/auditing/event-4704" xr:uid="{1D9A9D37-DB51-40A5-94DD-85498257784B}"/>
    <hyperlink ref="M56" r:id="rId49" xr:uid="{C4B0CC5B-B797-4095-834F-FA588D37BCB6}"/>
    <hyperlink ref="M57" r:id="rId50" display="https://learn.microsoft.com/en-us/previous-versions/windows/it-pro/windows-10/security/threat-protection/auditing/event-4798" xr:uid="{BC0228B1-C09B-4A2C-B8BB-751871D21A07}"/>
    <hyperlink ref="M58" r:id="rId51" display="https://learn.microsoft.com/en-us/previous-versions/windows/it-pro/windows-10/security/threat-protection/auditing/event-4799" xr:uid="{7AA664DB-744D-4CDB-8898-356B1073F391}"/>
    <hyperlink ref="M59" r:id="rId52" display="https://learn.microsoft.com/en-us/previous-versions/windows/it-pro/windows-10/security/threat-protection/auditing/event-5136" xr:uid="{0C2A2900-723C-4859-8D39-17BA68D60CC0}"/>
    <hyperlink ref="M61" r:id="rId53" display="https://learn.microsoft.com/en-us/previous-versions/windows/it-pro/windows-10/security/threat-protection/auditing/event-5138" xr:uid="{A117C5BD-16E2-4926-B733-F1B0FA0D4C73}"/>
    <hyperlink ref="M60" r:id="rId54" display="https://learn.microsoft.com/en-us/previous-versions/windows/it-pro/windows-10/security/threat-protection/auditing/event-5137" xr:uid="{AAA58363-9571-4B5D-A8D9-70E89080DB3E}"/>
    <hyperlink ref="M62" r:id="rId55" display="https://learn.microsoft.com/en-us/previous-versions/windows/it-pro/windows-10/security/threat-protection/auditing/event-5142" xr:uid="{81D58DFB-A495-4A48-B4B5-C2A33EC96E41}"/>
    <hyperlink ref="M21" r:id="rId56" display="https://learn.microsoft.com/en-us/previous-versions/windows/it-pro/windows-10/security/threat-protection/auditing/event-5145" xr:uid="{A887167E-E528-4E82-8AC8-02B3772B6824}"/>
    <hyperlink ref="M9" r:id="rId57" display="https://learn.microsoft.com/en-us/previous-versions/windows/it-pro/windows-10/security/threat-protection/auditing/event-5140" xr:uid="{6DD60296-301C-4960-89DA-5CCCFF1EBDE2}"/>
    <hyperlink ref="M63" r:id="rId58" display="https://learn.microsoft.com/en-us/previous-versions/windows/it-pro/windows-10/security/threat-protection/auditing/event-4703" xr:uid="{8C44A21F-3C4A-41EF-B33E-0B539719EE79}"/>
    <hyperlink ref="M12" r:id="rId59" display="https://learn.microsoft.com/en-us/previous-versions/windows/it-pro/windows-10/security/threat-protection/auditing/event-4782" xr:uid="{4F1C0AD7-60A0-4E05-B9B5-72BB2DA843D7}"/>
    <hyperlink ref="M65" r:id="rId60" display="https://learn.microsoft.com/en-us/previous-versions/windows/it-pro/windows-10/security/threat-protection/auditing/event-5031" xr:uid="{C8BCF7CE-0D13-409A-B379-FF7D59E378F7}"/>
    <hyperlink ref="M66" r:id="rId61" display="https://learn.microsoft.com/en-us/previous-versions/windows/it-pro/windows-10/security/threat-protection/auditing/event-4660" xr:uid="{18AA445E-1119-47E0-B0DA-6C8853A35E72}"/>
    <hyperlink ref="M67" r:id="rId62" display="https://learn.microsoft.com/en-us/previous-versions/windows/it-pro/windows-10/security/threat-protection/auditing/event-4904" xr:uid="{986A50F2-504D-491D-A554-A07EEB599A0E}"/>
    <hyperlink ref="M68" r:id="rId63" display="https://learn.microsoft.com/en-us/previous-versions/windows/it-pro/windows-10/security/threat-protection/auditing/event-4906" xr:uid="{B5A43147-6E7E-4B11-83E0-827C045D4EEC}"/>
    <hyperlink ref="M69" r:id="rId64" display="https://learn.microsoft.com/en-us/previous-versions/windows/it-pro/windows-10/security/threat-protection/auditing/event-4907" xr:uid="{1369514E-723B-4CF3-850F-55B32302509E}"/>
    <hyperlink ref="M19" r:id="rId65" display="https://learn.microsoft.com/en-us/previous-versions/windows/it-pro/windows-10/security/threat-protection/auditing/event-4634" xr:uid="{93174F18-E16B-4FD5-8423-2F65FEBC2D1E}"/>
    <hyperlink ref="M6" r:id="rId66" location="script-block-logging" xr:uid="{D1DB61AA-FDFA-4A4F-9A8D-CE9661B17748}"/>
    <hyperlink ref="M20" r:id="rId67" display="https://learn.microsoft.com/en-us/previous-versions/windows/it-pro/windows-10/security/threat-protection/auditing/event-4699" xr:uid="{ADACE3C1-318C-4FA4-A764-C1AFD32F0DBE}"/>
    <hyperlink ref="M77" r:id="rId68" display="https://learn.microsoft.com/en-us/previous-versions/windows/it-pro/windows-10/security/threat-protection/auditing/event-4611" xr:uid="{A419E809-6FBA-41FA-B8E6-C7A2E9A9904D}"/>
    <hyperlink ref="M78" r:id="rId69" display="https://learn.microsoft.com/en-us/previous-versions/windows/it-pro/windows-10/security/threat-protection/auditing/event-4665" xr:uid="{6DEA62E9-35AB-471D-9EE6-41908C248F11}"/>
    <hyperlink ref="M79" r:id="rId70" display="https://learn.microsoft.com/en-us/previous-versions/windows/it-pro/windows-10/security/threat-protection/auditing/event-4690" xr:uid="{32481DA8-CB62-4557-8D66-8149A6541F1C}"/>
    <hyperlink ref="M80" r:id="rId71" display="https://learn.microsoft.com/en-us/previous-versions/windows/it-pro/windows-10/security/threat-protection/auditing/event-4696" xr:uid="{AC3E2C1F-A765-4A95-8720-59D625E27E4D}"/>
    <hyperlink ref="M81" r:id="rId72" display="https://learn.microsoft.com/en-us/previous-versions/windows/it-pro/windows-10/security/threat-protection/auditing/event-4723" xr:uid="{E6A66C95-56B6-4E19-9B4C-2F847EEFAE35}"/>
    <hyperlink ref="M82" r:id="rId73" display="https://learn.microsoft.com/en-us/previous-versions/windows/it-pro/windows-10/security/threat-protection/auditing/event-4897" xr:uid="{F9B43287-61BF-4D7D-B074-91D9F67FD22A}"/>
    <hyperlink ref="M83" r:id="rId74" display="https://learn.microsoft.com/en-us/previous-versions/windows/it-pro/windows-10/security/threat-protection/auditing/event-4626" xr:uid="{6ACE8BA4-A54D-4985-8FF9-BF53C6FCCE2D}"/>
    <hyperlink ref="M84" r:id="rId75" display="https://learn.microsoft.com/en-us/previous-versions/windows/it-pro/windows-10/security/threat-protection/auditing/event-4627" xr:uid="{AF658717-570D-43AE-8F95-FF4BFE8DA591}"/>
    <hyperlink ref="M85" r:id="rId76" display="https://learn.microsoft.com/en-us/previous-versions/windows/it-pro/windows-10/security/threat-protection/auditing/event-4674" xr:uid="{150F0540-C98F-4DE7-9918-2C99B40D3EDE}"/>
    <hyperlink ref="M86" r:id="rId77" display="https://learn.microsoft.com/en-us/previous-versions/windows/it-pro/windows-10/security/threat-protection/auditing/event-4717" xr:uid="{B827CE2D-AA8B-424A-81EF-BF27F071AA82}"/>
    <hyperlink ref="M87" r:id="rId78" display="https://learn.microsoft.com/en-us/previous-versions/windows/it-pro/windows-10/security/threat-protection/auditing/event-4718" xr:uid="{57FCD8DD-2727-4F6C-BBDE-018E8049A07D}"/>
    <hyperlink ref="M88" r:id="rId79" display="https://learn.microsoft.com/en-us/previous-versions/windows/it-pro/windows-10/security/threat-protection/auditing/event-4733" xr:uid="{68FCEF7F-32B9-49FC-A327-DB909D3AA329}"/>
    <hyperlink ref="M89" r:id="rId80" display="https://learn.microsoft.com/en-us/previous-versions/windows/it-pro/windows-10/security/threat-protection/auditing/event-4741" xr:uid="{57E25E20-67D8-4592-8F6B-332042BB8FA1}"/>
    <hyperlink ref="M90" r:id="rId81" display="https://learn.microsoft.com/en-us/previous-versions/windows/it-pro/windows-10/security/threat-protection/auditing/event-4743" xr:uid="{EF0C3403-B634-4AEC-BBDF-B44FD3E974CA}"/>
    <hyperlink ref="M91" r:id="rId82" display="https://learn.microsoft.com/en-us/previous-versions/windows/it-pro/windows-10/security/threat-protection/auditing/event-4794" xr:uid="{E562E9B3-E8FB-4037-8938-A7FB0D035955}"/>
    <hyperlink ref="M92" r:id="rId83" display="https://learn.microsoft.com/en-us/previous-versions/windows/it-pro/windows-10/security/threat-protection/auditing/event-4816" xr:uid="{C38CF0C8-8327-4664-8A9A-F229462083A4}"/>
    <hyperlink ref="M93" r:id="rId84" display="https://learn.microsoft.com/en-us/previous-versions/windows/it-pro/windows-10/security/threat-protection/auditing/event-1101" xr:uid="{BB7B47F1-4E28-475E-BB4C-5354723523FC}"/>
    <hyperlink ref="M94" r:id="rId85" display="https://learn.microsoft.com/en-us/previous-versions/windows/it-pro/windows-10/security/threat-protection/auditing/event-1104" xr:uid="{19B2638F-644D-4281-9469-E30F8E0C7B65}"/>
    <hyperlink ref="M95" r:id="rId86" display="https://learn.microsoft.com/en-us/previous-versions/windows/it-pro/windows-10/security/threat-protection/auditing/event-1105" xr:uid="{E3CC20AA-597A-41A6-8AD4-1C32DABE2AC9}"/>
    <hyperlink ref="M96" r:id="rId87" display="https://learn.microsoft.com/en-us/previous-versions/windows/it-pro/windows-10/security/threat-protection/auditing/event-1108" xr:uid="{033093A6-91EC-4160-9C6F-60D2336C724A}"/>
    <hyperlink ref="M97" r:id="rId88" display="https://learn.microsoft.com/en-us/previous-versions/windows/it-pro/windows-10/security/threat-protection/auditing/event-4609" xr:uid="{E6AEA10C-976A-454F-8EB7-EE86A191E27C}"/>
    <hyperlink ref="M98" r:id="rId89" display="https://learn.microsoft.com/en-us/previous-versions/windows/it-pro/windows-10/security/threat-protection/auditing/event-4647" xr:uid="{A3BD35ED-23AA-4E98-B8E7-2B1C3D102452}"/>
    <hyperlink ref="M99" r:id="rId90" display="https://learn.microsoft.com/en-us/previous-versions/windows/it-pro/windows-10/security/threat-protection/auditing/event-4700" xr:uid="{1DE9AEB3-F9DB-419F-A052-15EF08C99C01}"/>
    <hyperlink ref="M100" r:id="rId91" display="https://learn.microsoft.com/en-us/previous-versions/windows/it-pro/windows-10/security/threat-protection/auditing/event-4701" xr:uid="{8BEB6877-54C3-4D92-B926-870152A6EB48}"/>
    <hyperlink ref="M101" r:id="rId92" display="https://learn.microsoft.com/en-us/previous-versions/windows/it-pro/windows-10/security/threat-protection/auditing/event-4902" xr:uid="{96553724-4114-4A32-9BB7-C5203E9524B9}"/>
    <hyperlink ref="M102" r:id="rId93" display="https://learn.microsoft.com/en-us/previous-versions/windows/it-pro/windows-10/security/threat-protection/auditing/event-4697" xr:uid="{480185E6-6AA7-410E-A2AF-870E63198A1F}"/>
    <hyperlink ref="M119" r:id="rId94" xr:uid="{A6B552A0-670D-43BC-B4D6-B20F35EEAF8C}"/>
    <hyperlink ref="M121" r:id="rId95" xr:uid="{3B339091-4523-49B8-9487-95F5FF03FB1F}"/>
    <hyperlink ref="M122" r:id="rId96" xr:uid="{0003C7B2-2648-4B52-80DA-BC401729DB5B}"/>
    <hyperlink ref="M76" r:id="rId97" xr:uid="{10144E86-ADE3-4EA8-8C50-3603938434A8}"/>
    <hyperlink ref="M75" r:id="rId98" xr:uid="{41107BE0-5AA7-4633-A1CD-848C10A722BB}"/>
    <hyperlink ref="M74" r:id="rId99" xr:uid="{1D9C844A-AA01-4072-AA7B-FABF6B0C249A}"/>
    <hyperlink ref="M73" r:id="rId100" xr:uid="{70414066-A09B-4395-A52B-CB6E8C414A02}"/>
    <hyperlink ref="M72" r:id="rId101" xr:uid="{1DA9E006-B401-4F8D-948B-10E83FF0DF45}"/>
    <hyperlink ref="M71" r:id="rId102" xr:uid="{CFA7AAAA-38FA-4ED4-A3DC-F1B40D5F07BE}"/>
    <hyperlink ref="M70" r:id="rId103" xr:uid="{5ABC012C-9EC3-4295-93C4-E561D4DDC585}"/>
  </hyperlinks>
  <pageMargins left="0.7" right="0.7" top="0.75" bottom="0.75" header="0.3" footer="0.3"/>
  <pageSetup paperSize="9" orientation="portrait" r:id="rId104"/>
  <legacyDrawing r:id="rId1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B5EB2-93E0-459D-9F11-34C89847F377}">
  <sheetPr>
    <tabColor theme="4" tint="0.39997558519241921"/>
  </sheetPr>
  <dimension ref="A1:X22"/>
  <sheetViews>
    <sheetView workbookViewId="0"/>
  </sheetViews>
  <sheetFormatPr defaultColWidth="22.7109375" defaultRowHeight="61.5" customHeight="1"/>
  <cols>
    <col min="9" max="9" width="43.85546875" customWidth="1"/>
  </cols>
  <sheetData>
    <row r="1" spans="1:24" ht="61.5" customHeight="1">
      <c r="A1" s="1" t="s">
        <v>0</v>
      </c>
      <c r="B1" s="1" t="s">
        <v>1</v>
      </c>
      <c r="C1" s="1" t="s">
        <v>2</v>
      </c>
      <c r="D1" s="1" t="s">
        <v>3</v>
      </c>
      <c r="E1" s="1" t="s">
        <v>4</v>
      </c>
      <c r="F1" s="1" t="s">
        <v>6</v>
      </c>
      <c r="G1" s="1" t="s">
        <v>7</v>
      </c>
      <c r="H1" s="1" t="s">
        <v>8</v>
      </c>
      <c r="I1" s="211" t="s">
        <v>3432</v>
      </c>
      <c r="J1" s="1" t="s">
        <v>11</v>
      </c>
      <c r="K1" s="1" t="s">
        <v>12</v>
      </c>
      <c r="L1" s="4" t="s">
        <v>15</v>
      </c>
      <c r="M1" s="71" t="s">
        <v>754</v>
      </c>
    </row>
    <row r="2" spans="1:24" ht="87.75" customHeight="1">
      <c r="A2" s="48" t="s">
        <v>16</v>
      </c>
      <c r="B2" s="65">
        <v>4624</v>
      </c>
      <c r="C2" s="70" t="s">
        <v>24</v>
      </c>
      <c r="D2" s="26" t="s">
        <v>18</v>
      </c>
      <c r="E2" s="31" t="s">
        <v>20</v>
      </c>
      <c r="F2" s="26" t="s">
        <v>25</v>
      </c>
      <c r="G2" s="26" t="s">
        <v>26</v>
      </c>
      <c r="H2" s="208" t="s">
        <v>1176</v>
      </c>
      <c r="I2" s="206" t="s">
        <v>3433</v>
      </c>
      <c r="J2" s="210"/>
      <c r="K2" s="26"/>
      <c r="L2" s="5" t="s">
        <v>3341</v>
      </c>
    </row>
    <row r="3" spans="1:24" ht="87.75" customHeight="1">
      <c r="A3" s="48" t="s">
        <v>16</v>
      </c>
      <c r="B3" s="65">
        <v>4625</v>
      </c>
      <c r="C3" s="70" t="s">
        <v>27</v>
      </c>
      <c r="D3" s="26" t="s">
        <v>18</v>
      </c>
      <c r="E3" s="31" t="s">
        <v>20</v>
      </c>
      <c r="F3" s="26" t="s">
        <v>28</v>
      </c>
      <c r="G3" s="26" t="s">
        <v>29</v>
      </c>
      <c r="H3" s="208" t="s">
        <v>1177</v>
      </c>
      <c r="I3" s="206" t="s">
        <v>3434</v>
      </c>
      <c r="J3" s="210"/>
      <c r="K3" s="26"/>
      <c r="L3" s="5" t="s">
        <v>3342</v>
      </c>
    </row>
    <row r="4" spans="1:24" ht="87.75" customHeight="1">
      <c r="A4" s="52" t="s">
        <v>16</v>
      </c>
      <c r="B4" s="65">
        <v>4782</v>
      </c>
      <c r="C4" s="70" t="s">
        <v>577</v>
      </c>
      <c r="D4" s="26" t="s">
        <v>18</v>
      </c>
      <c r="E4" s="32" t="s">
        <v>84</v>
      </c>
      <c r="F4" s="26" t="s">
        <v>578</v>
      </c>
      <c r="G4" s="26" t="s">
        <v>579</v>
      </c>
      <c r="H4" s="208" t="s">
        <v>1186</v>
      </c>
      <c r="I4" s="206" t="s">
        <v>3435</v>
      </c>
      <c r="J4" s="210" t="s">
        <v>1295</v>
      </c>
      <c r="K4" s="26" t="s">
        <v>1302</v>
      </c>
      <c r="L4" s="25" t="s">
        <v>3349</v>
      </c>
    </row>
    <row r="5" spans="1:24" ht="87.75" customHeight="1">
      <c r="A5" s="48" t="s">
        <v>16</v>
      </c>
      <c r="B5" s="65">
        <v>4776</v>
      </c>
      <c r="C5" s="29" t="s">
        <v>37</v>
      </c>
      <c r="D5" s="26" t="s">
        <v>18</v>
      </c>
      <c r="E5" s="31" t="s">
        <v>20</v>
      </c>
      <c r="F5" s="26" t="s">
        <v>38</v>
      </c>
      <c r="G5" s="26" t="s">
        <v>39</v>
      </c>
      <c r="H5" s="208" t="s">
        <v>1187</v>
      </c>
      <c r="I5" s="206" t="s">
        <v>3436</v>
      </c>
      <c r="J5" s="210"/>
      <c r="K5" s="26" t="s">
        <v>1303</v>
      </c>
      <c r="L5" s="5" t="s">
        <v>3350</v>
      </c>
    </row>
    <row r="6" spans="1:24" s="26" customFormat="1" ht="80.25" customHeight="1">
      <c r="A6" s="28" t="s">
        <v>69</v>
      </c>
      <c r="B6" s="65">
        <v>4720</v>
      </c>
      <c r="C6" s="29" t="s">
        <v>83</v>
      </c>
      <c r="D6" s="26" t="s">
        <v>18</v>
      </c>
      <c r="E6" s="32" t="s">
        <v>84</v>
      </c>
      <c r="F6" s="26" t="s">
        <v>85</v>
      </c>
      <c r="G6" s="26" t="s">
        <v>86</v>
      </c>
      <c r="H6" s="208" t="s">
        <v>1188</v>
      </c>
      <c r="I6" s="206" t="s">
        <v>3437</v>
      </c>
      <c r="J6" s="210"/>
      <c r="K6" s="26" t="s">
        <v>1318</v>
      </c>
      <c r="L6" s="5" t="s">
        <v>3351</v>
      </c>
      <c r="M6" s="27"/>
      <c r="N6" s="27"/>
      <c r="O6" s="27"/>
      <c r="P6" s="27"/>
      <c r="Q6" s="27"/>
      <c r="R6" s="27"/>
      <c r="S6" s="27"/>
      <c r="T6" s="27"/>
      <c r="U6" s="27"/>
      <c r="V6" s="27"/>
      <c r="W6" s="27"/>
      <c r="X6" s="27"/>
    </row>
    <row r="7" spans="1:24" s="26" customFormat="1" ht="58.5" customHeight="1">
      <c r="A7" s="35" t="s">
        <v>69</v>
      </c>
      <c r="B7" s="66">
        <v>4634</v>
      </c>
      <c r="C7" s="61" t="s">
        <v>697</v>
      </c>
      <c r="D7" s="57" t="s">
        <v>18</v>
      </c>
      <c r="E7" s="39" t="s">
        <v>31</v>
      </c>
      <c r="F7" s="57" t="s">
        <v>698</v>
      </c>
      <c r="G7" s="57" t="s">
        <v>699</v>
      </c>
      <c r="H7" s="209" t="s">
        <v>1193</v>
      </c>
      <c r="I7" s="207" t="s">
        <v>3438</v>
      </c>
      <c r="J7" s="210"/>
      <c r="K7" s="57" t="s">
        <v>1319</v>
      </c>
      <c r="L7" s="24" t="s">
        <v>3355</v>
      </c>
      <c r="M7" s="27"/>
      <c r="N7" s="27"/>
      <c r="O7" s="27"/>
      <c r="P7" s="27"/>
      <c r="Q7" s="27"/>
      <c r="R7" s="27"/>
      <c r="S7" s="27"/>
      <c r="T7" s="27"/>
      <c r="U7" s="27"/>
      <c r="V7" s="27"/>
      <c r="W7" s="27"/>
      <c r="X7" s="27"/>
    </row>
    <row r="8" spans="1:24" s="26" customFormat="1" ht="58.5" customHeight="1">
      <c r="A8" s="28" t="s">
        <v>69</v>
      </c>
      <c r="B8" s="65">
        <v>4740</v>
      </c>
      <c r="C8" s="29" t="s">
        <v>70</v>
      </c>
      <c r="D8" s="26" t="s">
        <v>18</v>
      </c>
      <c r="E8" s="30" t="s">
        <v>19</v>
      </c>
      <c r="F8" s="26" t="s">
        <v>71</v>
      </c>
      <c r="G8" s="26" t="s">
        <v>72</v>
      </c>
      <c r="H8" s="208" t="s">
        <v>1196</v>
      </c>
      <c r="I8" s="206" t="s">
        <v>3439</v>
      </c>
      <c r="J8" s="210"/>
      <c r="L8" s="5" t="s">
        <v>3358</v>
      </c>
      <c r="M8" s="27"/>
      <c r="N8" s="27"/>
      <c r="O8" s="27"/>
      <c r="P8" s="27"/>
      <c r="Q8" s="27"/>
      <c r="R8" s="27"/>
      <c r="S8" s="27"/>
      <c r="T8" s="27"/>
      <c r="U8" s="27"/>
      <c r="V8" s="27"/>
      <c r="W8" s="27"/>
      <c r="X8" s="27"/>
    </row>
    <row r="9" spans="1:24" s="26" customFormat="1" ht="58.5" customHeight="1">
      <c r="A9" s="28" t="s">
        <v>69</v>
      </c>
      <c r="B9" s="65">
        <v>4726</v>
      </c>
      <c r="C9" s="29" t="s">
        <v>88</v>
      </c>
      <c r="D9" s="26" t="s">
        <v>18</v>
      </c>
      <c r="E9" s="32" t="s">
        <v>84</v>
      </c>
      <c r="F9" s="26" t="s">
        <v>90</v>
      </c>
      <c r="G9" s="26" t="s">
        <v>91</v>
      </c>
      <c r="H9" s="208" t="s">
        <v>1197</v>
      </c>
      <c r="I9" s="206" t="s">
        <v>3440</v>
      </c>
      <c r="J9" s="210"/>
      <c r="L9" s="5" t="s">
        <v>3359</v>
      </c>
      <c r="M9" s="27"/>
      <c r="N9" s="27"/>
      <c r="O9" s="27"/>
      <c r="P9" s="27"/>
      <c r="Q9" s="27"/>
      <c r="R9" s="27"/>
      <c r="S9" s="27"/>
      <c r="T9" s="27"/>
      <c r="U9" s="27"/>
      <c r="V9" s="27"/>
      <c r="W9" s="27"/>
      <c r="X9" s="27"/>
    </row>
    <row r="10" spans="1:24" ht="87.75" customHeight="1">
      <c r="A10" s="37" t="s">
        <v>126</v>
      </c>
      <c r="B10" s="65">
        <v>4688</v>
      </c>
      <c r="C10" s="70" t="s">
        <v>130</v>
      </c>
      <c r="D10" s="26" t="s">
        <v>18</v>
      </c>
      <c r="E10" s="31" t="s">
        <v>20</v>
      </c>
      <c r="F10" s="26" t="s">
        <v>132</v>
      </c>
      <c r="G10" s="26" t="s">
        <v>133</v>
      </c>
      <c r="H10" s="208" t="s">
        <v>1178</v>
      </c>
      <c r="I10" s="206" t="s">
        <v>3441</v>
      </c>
      <c r="J10" s="210"/>
      <c r="K10" s="26" t="s">
        <v>1326</v>
      </c>
      <c r="L10" s="5" t="s">
        <v>3343</v>
      </c>
    </row>
    <row r="11" spans="1:24" ht="87.75" customHeight="1">
      <c r="A11" s="37" t="s">
        <v>126</v>
      </c>
      <c r="B11" s="65">
        <v>4697</v>
      </c>
      <c r="C11" s="29" t="s">
        <v>135</v>
      </c>
      <c r="D11" s="26" t="s">
        <v>18</v>
      </c>
      <c r="E11" s="31" t="s">
        <v>20</v>
      </c>
      <c r="F11" s="26" t="s">
        <v>136</v>
      </c>
      <c r="G11" s="26" t="s">
        <v>137</v>
      </c>
      <c r="H11" s="208" t="s">
        <v>1189</v>
      </c>
      <c r="I11" s="206" t="s">
        <v>3442</v>
      </c>
      <c r="J11" s="210"/>
      <c r="K11" s="26" t="s">
        <v>1327</v>
      </c>
      <c r="L11" s="5" t="s">
        <v>3352</v>
      </c>
    </row>
    <row r="12" spans="1:24" ht="87.75" customHeight="1">
      <c r="A12" s="37" t="s">
        <v>126</v>
      </c>
      <c r="B12" s="65">
        <v>7045</v>
      </c>
      <c r="C12" s="29" t="s">
        <v>1095</v>
      </c>
      <c r="D12" s="26" t="s">
        <v>1096</v>
      </c>
      <c r="E12" s="31" t="s">
        <v>20</v>
      </c>
      <c r="F12" s="26" t="s">
        <v>1384</v>
      </c>
      <c r="G12" s="26" t="s">
        <v>137</v>
      </c>
      <c r="H12" s="208" t="s">
        <v>1189</v>
      </c>
      <c r="I12" s="206" t="s">
        <v>3443</v>
      </c>
      <c r="J12" s="210"/>
      <c r="K12" s="26" t="s">
        <v>1327</v>
      </c>
      <c r="L12" s="5" t="s">
        <v>1097</v>
      </c>
    </row>
    <row r="13" spans="1:24" ht="87.75" customHeight="1">
      <c r="A13" s="40" t="s">
        <v>153</v>
      </c>
      <c r="B13" s="65">
        <v>4657</v>
      </c>
      <c r="C13" s="70" t="s">
        <v>158</v>
      </c>
      <c r="D13" s="26" t="s">
        <v>18</v>
      </c>
      <c r="E13" s="31" t="s">
        <v>20</v>
      </c>
      <c r="F13" s="26" t="s">
        <v>159</v>
      </c>
      <c r="G13" s="26" t="s">
        <v>160</v>
      </c>
      <c r="H13" s="208" t="s">
        <v>1184</v>
      </c>
      <c r="I13" s="206" t="s">
        <v>3444</v>
      </c>
      <c r="J13" s="210"/>
      <c r="K13" s="26"/>
      <c r="L13" s="5" t="s">
        <v>3347</v>
      </c>
    </row>
    <row r="14" spans="1:24" ht="87.75" customHeight="1">
      <c r="A14" s="40" t="s">
        <v>153</v>
      </c>
      <c r="B14" s="65">
        <v>4656</v>
      </c>
      <c r="C14" s="29" t="s">
        <v>154</v>
      </c>
      <c r="D14" s="26" t="s">
        <v>18</v>
      </c>
      <c r="E14" s="31" t="s">
        <v>20</v>
      </c>
      <c r="F14" s="26" t="s">
        <v>155</v>
      </c>
      <c r="G14" s="26" t="s">
        <v>156</v>
      </c>
      <c r="H14" s="208" t="s">
        <v>1209</v>
      </c>
      <c r="I14" s="206" t="s">
        <v>3445</v>
      </c>
      <c r="J14" s="210"/>
      <c r="K14" s="26" t="s">
        <v>1347</v>
      </c>
      <c r="L14" s="5" t="s">
        <v>3371</v>
      </c>
    </row>
    <row r="15" spans="1:24" ht="87.75" customHeight="1">
      <c r="A15" s="42" t="s">
        <v>180</v>
      </c>
      <c r="B15" s="65">
        <v>5140</v>
      </c>
      <c r="C15" s="70" t="s">
        <v>191</v>
      </c>
      <c r="D15" s="26" t="s">
        <v>18</v>
      </c>
      <c r="E15" s="31" t="s">
        <v>20</v>
      </c>
      <c r="F15" s="26" t="s">
        <v>192</v>
      </c>
      <c r="G15" s="26" t="s">
        <v>193</v>
      </c>
      <c r="H15" s="208" t="s">
        <v>1183</v>
      </c>
      <c r="I15" s="206" t="s">
        <v>3446</v>
      </c>
      <c r="J15" s="210" t="s">
        <v>1337</v>
      </c>
      <c r="K15" s="26" t="s">
        <v>1350</v>
      </c>
      <c r="L15" s="5" t="s">
        <v>3346</v>
      </c>
    </row>
    <row r="16" spans="1:24" ht="87.75" customHeight="1">
      <c r="A16" s="42" t="s">
        <v>180</v>
      </c>
      <c r="B16" s="65">
        <v>5145</v>
      </c>
      <c r="C16" s="29" t="s">
        <v>187</v>
      </c>
      <c r="D16" s="26" t="s">
        <v>18</v>
      </c>
      <c r="E16" s="30" t="s">
        <v>19</v>
      </c>
      <c r="F16" s="26" t="s">
        <v>188</v>
      </c>
      <c r="G16" s="26" t="s">
        <v>731</v>
      </c>
      <c r="H16" s="208" t="s">
        <v>1195</v>
      </c>
      <c r="I16" s="206" t="s">
        <v>3447</v>
      </c>
      <c r="J16" s="210" t="s">
        <v>1338</v>
      </c>
      <c r="K16" s="26" t="s">
        <v>1351</v>
      </c>
      <c r="L16" s="5" t="s">
        <v>3357</v>
      </c>
    </row>
    <row r="17" spans="1:12" ht="87.75" customHeight="1">
      <c r="A17" s="45" t="s">
        <v>196</v>
      </c>
      <c r="B17" s="65">
        <v>4104</v>
      </c>
      <c r="C17" s="70" t="s">
        <v>722</v>
      </c>
      <c r="D17" s="26" t="s">
        <v>197</v>
      </c>
      <c r="E17" s="31" t="s">
        <v>20</v>
      </c>
      <c r="F17" s="26" t="s">
        <v>724</v>
      </c>
      <c r="G17" s="26" t="s">
        <v>729</v>
      </c>
      <c r="H17" s="208" t="s">
        <v>1180</v>
      </c>
      <c r="I17" s="206" t="s">
        <v>3448</v>
      </c>
      <c r="J17" s="210"/>
      <c r="K17" s="26"/>
      <c r="L17" s="5" t="s">
        <v>723</v>
      </c>
    </row>
    <row r="18" spans="1:12" ht="87.75" customHeight="1">
      <c r="A18" s="45" t="s">
        <v>196</v>
      </c>
      <c r="B18" s="65">
        <v>4103</v>
      </c>
      <c r="C18" s="29" t="s">
        <v>198</v>
      </c>
      <c r="D18" s="26" t="s">
        <v>197</v>
      </c>
      <c r="E18" s="31" t="s">
        <v>20</v>
      </c>
      <c r="F18" s="26" t="s">
        <v>199</v>
      </c>
      <c r="G18" s="26" t="s">
        <v>728</v>
      </c>
      <c r="H18" s="208" t="s">
        <v>1192</v>
      </c>
      <c r="I18" s="206" t="s">
        <v>3449</v>
      </c>
      <c r="J18" s="210"/>
      <c r="K18" s="26"/>
      <c r="L18" s="5" t="s">
        <v>1724</v>
      </c>
    </row>
    <row r="19" spans="1:12" ht="87.75" customHeight="1">
      <c r="A19" s="50" t="s">
        <v>228</v>
      </c>
      <c r="B19" s="65">
        <v>4946</v>
      </c>
      <c r="C19" s="70" t="s">
        <v>229</v>
      </c>
      <c r="D19" s="26" t="s">
        <v>18</v>
      </c>
      <c r="E19" s="31" t="s">
        <v>20</v>
      </c>
      <c r="F19" s="26" t="s">
        <v>230</v>
      </c>
      <c r="G19" s="26" t="s">
        <v>231</v>
      </c>
      <c r="H19" s="208" t="s">
        <v>1185</v>
      </c>
      <c r="I19" s="206" t="s">
        <v>3450</v>
      </c>
      <c r="J19" s="210"/>
      <c r="K19" s="26"/>
      <c r="L19" s="5" t="s">
        <v>3348</v>
      </c>
    </row>
    <row r="20" spans="1:12" ht="87.75" customHeight="1">
      <c r="A20" s="51" t="s">
        <v>235</v>
      </c>
      <c r="B20" s="65">
        <v>5156</v>
      </c>
      <c r="C20" s="29" t="s">
        <v>236</v>
      </c>
      <c r="D20" s="26" t="s">
        <v>18</v>
      </c>
      <c r="E20" s="30" t="s">
        <v>19</v>
      </c>
      <c r="F20" s="26" t="s">
        <v>237</v>
      </c>
      <c r="G20" s="26" t="s">
        <v>727</v>
      </c>
      <c r="H20" s="208" t="s">
        <v>1191</v>
      </c>
      <c r="I20" s="206" t="s">
        <v>3451</v>
      </c>
      <c r="J20" s="210"/>
      <c r="K20" s="26" t="s">
        <v>1367</v>
      </c>
      <c r="L20" s="5" t="s">
        <v>3354</v>
      </c>
    </row>
    <row r="21" spans="1:12" ht="87.75" customHeight="1">
      <c r="A21" s="49" t="s">
        <v>218</v>
      </c>
      <c r="B21" s="65">
        <v>1102</v>
      </c>
      <c r="C21" s="70" t="s">
        <v>225</v>
      </c>
      <c r="D21" s="26" t="s">
        <v>18</v>
      </c>
      <c r="E21" s="32" t="s">
        <v>84</v>
      </c>
      <c r="F21" s="26" t="s">
        <v>226</v>
      </c>
      <c r="G21" s="26" t="s">
        <v>227</v>
      </c>
      <c r="H21" s="208" t="s">
        <v>1179</v>
      </c>
      <c r="I21" s="206" t="s">
        <v>3452</v>
      </c>
      <c r="J21" s="210"/>
      <c r="K21" s="26"/>
      <c r="L21" s="5" t="s">
        <v>3344</v>
      </c>
    </row>
    <row r="22" spans="1:12" ht="87.75" customHeight="1">
      <c r="A22" s="58" t="s">
        <v>605</v>
      </c>
      <c r="B22" s="66">
        <v>1149</v>
      </c>
      <c r="C22" s="70" t="s">
        <v>606</v>
      </c>
      <c r="D22" s="26" t="s">
        <v>607</v>
      </c>
      <c r="E22" s="32" t="s">
        <v>84</v>
      </c>
      <c r="F22" s="26" t="s">
        <v>650</v>
      </c>
      <c r="G22" s="26" t="s">
        <v>608</v>
      </c>
      <c r="H22" s="26" t="s">
        <v>1181</v>
      </c>
      <c r="I22" s="212"/>
      <c r="J22" s="26" t="s">
        <v>1368</v>
      </c>
      <c r="K22" s="26" t="s">
        <v>1376</v>
      </c>
      <c r="L22" s="26" t="s">
        <v>1720</v>
      </c>
    </row>
  </sheetData>
  <hyperlinks>
    <hyperlink ref="L2" r:id="rId1" display="https://learn.microsoft.com/en-us/previous-versions/windows/it-pro/windows-10/security/threat-protection/auditing/event-4624" xr:uid="{0435875F-6A68-4F3C-835B-887F4FF854C8}"/>
    <hyperlink ref="L3" r:id="rId2" display="https://learn.microsoft.com/en-us/previous-versions/windows/it-pro/windows-10/security/threat-protection/auditing/event-4625" xr:uid="{D51408B4-CD8D-404B-9DC0-FE2AC394704D}"/>
    <hyperlink ref="L5" r:id="rId3" display="https://learn.microsoft.com/en-us/previous-versions/windows/it-pro/windows-10/security/threat-protection/auditing/event-4776" xr:uid="{B61E0F7A-83FE-4E58-8A0B-B7209CF404F2}"/>
    <hyperlink ref="L4" r:id="rId4" display="https://learn.microsoft.com/en-us/previous-versions/windows/it-pro/windows-10/security/threat-protection/auditing/event-4782" xr:uid="{0683F3DB-35D0-4DEA-9D45-E83763D075B2}"/>
    <hyperlink ref="L8" r:id="rId5" display="https://learn.microsoft.com/en-us/previous-versions/windows/it-pro/windows-10/security/threat-protection/auditing/event-4740" xr:uid="{3887AC09-FF63-4CE8-B2EF-4633A570E01C}"/>
    <hyperlink ref="L6" r:id="rId6" display="https://learn.microsoft.com/en-us/previous-versions/windows/it-pro/windows-10/security/threat-protection/auditing/event-4720" xr:uid="{E4BEA962-9029-4628-A9BE-4F98DA458139}"/>
    <hyperlink ref="L9" r:id="rId7" display="https://learn.microsoft.com/en-us/previous-versions/windows/it-pro/windows-10/security/threat-protection/auditing/event-4726" xr:uid="{ABC378D7-F378-43AA-96D5-E2D0C948B79C}"/>
    <hyperlink ref="L7" r:id="rId8" display="https://learn.microsoft.com/en-us/previous-versions/windows/it-pro/windows-10/security/threat-protection/auditing/event-4634" xr:uid="{819AE747-C502-4A47-ADD0-6647058ADC12}"/>
    <hyperlink ref="L10" r:id="rId9" display="https://learn.microsoft.com/en-us/previous-versions/windows/it-pro/windows-10/security/threat-protection/auditing/event-4688" xr:uid="{5C63C90F-102B-4D94-8F02-5D787C085BD9}"/>
    <hyperlink ref="L11" r:id="rId10" display="https://learn.microsoft.com/en-us/previous-versions/windows/it-pro/windows-10/security/threat-protection/auditing/event-4697" xr:uid="{112D389E-5D5C-420E-A181-0C3D770923DC}"/>
    <hyperlink ref="L12" r:id="rId11" display="https://learn.microsoft.com/en-us/previous-versions/windows/it-pro/windows-10/security/threat-protection/auditing/event-4697" xr:uid="{0135CAD3-7216-49BC-8878-3811E613AC6D}"/>
    <hyperlink ref="L14" r:id="rId12" display="https://learn.microsoft.com/en-us/previous-versions/windows/it-pro/windows-10/security/threat-protection/auditing/event-4656" xr:uid="{13EE2E60-66A0-465E-AC01-1057720A0977}"/>
    <hyperlink ref="L13" r:id="rId13" display="https://learn.microsoft.com/en-us/previous-versions/windows/it-pro/windows-10/security/threat-protection/auditing/event-4657" xr:uid="{27C44FC6-476F-44C8-8D23-2006B4DB9D01}"/>
    <hyperlink ref="L16" r:id="rId14" display="https://learn.microsoft.com/en-us/previous-versions/windows/it-pro/windows-10/security/threat-protection/auditing/event-5145" xr:uid="{353B8F0E-AFC4-40FC-96A9-DC4035C1A0F6}"/>
    <hyperlink ref="L15" r:id="rId15" display="https://learn.microsoft.com/en-us/previous-versions/windows/it-pro/windows-10/security/threat-protection/auditing/event-5140" xr:uid="{A266E2B3-ACD3-44FE-81CB-C5971A7B8135}"/>
    <hyperlink ref="L18" r:id="rId16" display="https://learn.microsoft.com/en-us/previous-versions/windows/it-pro/windows-10/security/threat-protection/auditing/event-4103" xr:uid="{9487B5F8-805D-43E7-A342-3CA1FBA92E26}"/>
    <hyperlink ref="L17" r:id="rId17" location="script-block-logging" xr:uid="{723CA4FD-E4A1-4DF9-85E6-C629B40F3BF3}"/>
    <hyperlink ref="L19" r:id="rId18" display="https://learn.microsoft.com/en-us/previous-versions/windows/it-pro/windows-10/security/threat-protection/auditing/event-4946" xr:uid="{E9D959FD-1FF0-46FE-89E2-D0E854FAD38E}"/>
    <hyperlink ref="L21" r:id="rId19" display="https://learn.microsoft.com/en-us/previous-versions/windows/it-pro/windows-10/security/threat-protection/auditing/event-1102" xr:uid="{1FB9F689-BCE9-4618-BD67-E1F9B0070846}"/>
    <hyperlink ref="L20" r:id="rId20" display="https://learn.microsoft.com/en-us/previous-versions/windows/it-pro/windows-10/security/threat-protection/auditing/event-5156" xr:uid="{8B5BC235-8203-4112-986C-18040BB0736E}"/>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69233-6519-43FF-8785-8DFED27A4F0B}">
  <sheetPr>
    <tabColor theme="4" tint="0.59999389629810485"/>
  </sheetPr>
  <dimension ref="A1:E12"/>
  <sheetViews>
    <sheetView zoomScale="115" zoomScaleNormal="115" workbookViewId="0"/>
  </sheetViews>
  <sheetFormatPr defaultColWidth="40.7109375" defaultRowHeight="49.5" customHeight="1"/>
  <cols>
    <col min="1" max="1" width="10.7109375" customWidth="1"/>
    <col min="2" max="2" width="21.42578125" customWidth="1"/>
    <col min="3" max="3" width="48.42578125" customWidth="1"/>
    <col min="4" max="4" width="49.5703125" customWidth="1"/>
    <col min="5" max="5" width="55.5703125" customWidth="1"/>
  </cols>
  <sheetData>
    <row r="1" spans="1:5" ht="42" customHeight="1">
      <c r="A1" s="60" t="s">
        <v>251</v>
      </c>
      <c r="B1" s="60" t="s">
        <v>252</v>
      </c>
      <c r="C1" s="60" t="s">
        <v>6</v>
      </c>
      <c r="D1" s="60" t="s">
        <v>253</v>
      </c>
      <c r="E1" s="60" t="s">
        <v>254</v>
      </c>
    </row>
    <row r="2" spans="1:5" ht="42" customHeight="1">
      <c r="A2" s="61">
        <v>2</v>
      </c>
      <c r="B2" s="61" t="s">
        <v>255</v>
      </c>
      <c r="C2" s="61" t="s">
        <v>256</v>
      </c>
      <c r="D2" s="57" t="s">
        <v>257</v>
      </c>
      <c r="E2" s="57" t="s">
        <v>258</v>
      </c>
    </row>
    <row r="3" spans="1:5" ht="42" customHeight="1">
      <c r="A3" s="61">
        <v>3</v>
      </c>
      <c r="B3" s="61" t="s">
        <v>259</v>
      </c>
      <c r="C3" s="61" t="s">
        <v>260</v>
      </c>
      <c r="D3" s="57" t="s">
        <v>261</v>
      </c>
      <c r="E3" s="57" t="s">
        <v>262</v>
      </c>
    </row>
    <row r="4" spans="1:5" ht="42" customHeight="1">
      <c r="A4" s="57">
        <v>4</v>
      </c>
      <c r="B4" s="57" t="s">
        <v>701</v>
      </c>
      <c r="C4" s="57" t="s">
        <v>702</v>
      </c>
      <c r="D4" s="57" t="s">
        <v>703</v>
      </c>
      <c r="E4" s="57" t="s">
        <v>704</v>
      </c>
    </row>
    <row r="5" spans="1:5" ht="42" customHeight="1">
      <c r="A5" s="61">
        <v>5</v>
      </c>
      <c r="B5" s="61" t="s">
        <v>263</v>
      </c>
      <c r="C5" s="61" t="s">
        <v>264</v>
      </c>
      <c r="D5" s="57" t="s">
        <v>265</v>
      </c>
      <c r="E5" s="57" t="s">
        <v>266</v>
      </c>
    </row>
    <row r="6" spans="1:5" ht="42" customHeight="1">
      <c r="A6" s="57">
        <v>7</v>
      </c>
      <c r="B6" s="57" t="s">
        <v>267</v>
      </c>
      <c r="C6" s="57" t="s">
        <v>268</v>
      </c>
      <c r="D6" s="57" t="s">
        <v>269</v>
      </c>
      <c r="E6" s="57" t="s">
        <v>270</v>
      </c>
    </row>
    <row r="7" spans="1:5" ht="42" customHeight="1">
      <c r="A7" s="57">
        <v>8</v>
      </c>
      <c r="B7" s="57" t="s">
        <v>705</v>
      </c>
      <c r="C7" s="57" t="s">
        <v>706</v>
      </c>
      <c r="D7" s="57" t="s">
        <v>707</v>
      </c>
      <c r="E7" s="57" t="s">
        <v>708</v>
      </c>
    </row>
    <row r="8" spans="1:5" ht="42" customHeight="1">
      <c r="A8" s="57">
        <v>9</v>
      </c>
      <c r="B8" s="57" t="s">
        <v>709</v>
      </c>
      <c r="C8" s="57" t="s">
        <v>710</v>
      </c>
      <c r="D8" s="57" t="s">
        <v>711</v>
      </c>
      <c r="E8" s="57" t="s">
        <v>712</v>
      </c>
    </row>
    <row r="9" spans="1:5" ht="42" customHeight="1">
      <c r="A9" s="61">
        <v>10</v>
      </c>
      <c r="B9" s="61" t="s">
        <v>271</v>
      </c>
      <c r="C9" s="61" t="s">
        <v>272</v>
      </c>
      <c r="D9" s="57" t="s">
        <v>273</v>
      </c>
      <c r="E9" s="57" t="s">
        <v>274</v>
      </c>
    </row>
    <row r="10" spans="1:5" ht="48" customHeight="1">
      <c r="A10" s="61">
        <v>11</v>
      </c>
      <c r="B10" s="61" t="s">
        <v>1386</v>
      </c>
      <c r="C10" s="61" t="s">
        <v>716</v>
      </c>
      <c r="D10" s="57" t="s">
        <v>717</v>
      </c>
      <c r="E10" s="57" t="s">
        <v>721</v>
      </c>
    </row>
    <row r="11" spans="1:5" ht="58.5" customHeight="1">
      <c r="A11" s="57">
        <v>12</v>
      </c>
      <c r="B11" s="57" t="s">
        <v>1387</v>
      </c>
      <c r="C11" s="57" t="s">
        <v>715</v>
      </c>
      <c r="D11" s="57" t="s">
        <v>718</v>
      </c>
      <c r="E11" s="57" t="s">
        <v>720</v>
      </c>
    </row>
    <row r="12" spans="1:5" ht="58.5" customHeight="1">
      <c r="A12" s="57">
        <v>13</v>
      </c>
      <c r="B12" s="57" t="s">
        <v>713</v>
      </c>
      <c r="C12" s="57" t="s">
        <v>714</v>
      </c>
      <c r="D12" s="57" t="s">
        <v>717</v>
      </c>
      <c r="E12" s="57" t="s">
        <v>719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D3B50-B54C-4C6B-8B50-562CA5CC9B35}">
  <sheetPr>
    <tabColor theme="4" tint="0.59999389629810485"/>
  </sheetPr>
  <dimension ref="A1:B12"/>
  <sheetViews>
    <sheetView workbookViewId="0"/>
  </sheetViews>
  <sheetFormatPr defaultColWidth="34.28515625" defaultRowHeight="37.5" customHeight="1"/>
  <cols>
    <col min="2" max="2" width="46.5703125" customWidth="1"/>
  </cols>
  <sheetData>
    <row r="1" spans="1:2" ht="37.5" customHeight="1">
      <c r="A1" s="23" t="s">
        <v>275</v>
      </c>
      <c r="B1" s="23" t="s">
        <v>276</v>
      </c>
    </row>
    <row r="2" spans="1:2" ht="37.5" customHeight="1">
      <c r="A2" s="2" t="s">
        <v>277</v>
      </c>
      <c r="B2" s="2" t="s">
        <v>278</v>
      </c>
    </row>
    <row r="3" spans="1:2" ht="37.5" customHeight="1">
      <c r="A3" s="2" t="s">
        <v>279</v>
      </c>
      <c r="B3" s="3" t="s">
        <v>280</v>
      </c>
    </row>
    <row r="4" spans="1:2" ht="37.5" customHeight="1">
      <c r="A4" s="2" t="s">
        <v>281</v>
      </c>
      <c r="B4" s="3" t="s">
        <v>282</v>
      </c>
    </row>
    <row r="5" spans="1:2" ht="37.5" customHeight="1">
      <c r="A5" s="2" t="s">
        <v>283</v>
      </c>
      <c r="B5" s="2" t="s">
        <v>1388</v>
      </c>
    </row>
    <row r="6" spans="1:2" ht="37.5" customHeight="1">
      <c r="A6" s="2" t="s">
        <v>285</v>
      </c>
      <c r="B6" s="2" t="s">
        <v>286</v>
      </c>
    </row>
    <row r="7" spans="1:2" ht="37.5" customHeight="1">
      <c r="A7" s="2" t="s">
        <v>287</v>
      </c>
      <c r="B7" s="2" t="s">
        <v>288</v>
      </c>
    </row>
    <row r="8" spans="1:2" ht="37.5" customHeight="1">
      <c r="A8" s="2" t="s">
        <v>289</v>
      </c>
      <c r="B8" s="2" t="s">
        <v>290</v>
      </c>
    </row>
    <row r="9" spans="1:2" ht="37.5" customHeight="1">
      <c r="A9" s="2" t="s">
        <v>291</v>
      </c>
      <c r="B9" s="2" t="s">
        <v>284</v>
      </c>
    </row>
    <row r="10" spans="1:2" ht="37.5" customHeight="1">
      <c r="A10" s="2" t="s">
        <v>292</v>
      </c>
      <c r="B10" s="2" t="s">
        <v>293</v>
      </c>
    </row>
    <row r="11" spans="1:2" ht="37.5" customHeight="1">
      <c r="A11" s="2" t="s">
        <v>294</v>
      </c>
      <c r="B11" s="2" t="s">
        <v>295</v>
      </c>
    </row>
    <row r="12" spans="1:2" ht="37.5" customHeight="1">
      <c r="A12" s="2" t="s">
        <v>296</v>
      </c>
      <c r="B12" s="3" t="s">
        <v>297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C9119-7C14-433A-AE01-252D363749C9}">
  <sheetPr>
    <tabColor theme="4" tint="0.59999389629810485"/>
  </sheetPr>
  <dimension ref="A1:H65"/>
  <sheetViews>
    <sheetView zoomScaleNormal="100" workbookViewId="0"/>
  </sheetViews>
  <sheetFormatPr defaultColWidth="21.5703125" defaultRowHeight="60" customHeight="1"/>
  <cols>
    <col min="5" max="5" width="61.140625" customWidth="1"/>
    <col min="6" max="6" width="24.140625" customWidth="1"/>
    <col min="7" max="7" width="54.85546875" customWidth="1"/>
    <col min="8" max="8" width="82.85546875" customWidth="1"/>
  </cols>
  <sheetData>
    <row r="1" spans="1:8" ht="60" customHeight="1">
      <c r="A1" s="6" t="s">
        <v>298</v>
      </c>
      <c r="B1" s="6" t="s">
        <v>299</v>
      </c>
      <c r="C1" s="6" t="s">
        <v>252</v>
      </c>
      <c r="D1" s="6" t="s">
        <v>0</v>
      </c>
      <c r="E1" s="6" t="s">
        <v>6</v>
      </c>
      <c r="F1" s="6" t="s">
        <v>300</v>
      </c>
      <c r="G1" s="6" t="s">
        <v>301</v>
      </c>
      <c r="H1" s="6" t="s">
        <v>302</v>
      </c>
    </row>
    <row r="2" spans="1:8" ht="60" customHeight="1">
      <c r="A2" s="67" t="s">
        <v>303</v>
      </c>
      <c r="B2" s="8">
        <v>0</v>
      </c>
      <c r="C2" s="7" t="s">
        <v>304</v>
      </c>
      <c r="D2" s="9" t="s">
        <v>305</v>
      </c>
      <c r="E2" s="10" t="s">
        <v>306</v>
      </c>
      <c r="F2" s="7" t="s">
        <v>307</v>
      </c>
      <c r="G2" s="7" t="s">
        <v>308</v>
      </c>
      <c r="H2" s="7" t="s">
        <v>309</v>
      </c>
    </row>
    <row r="3" spans="1:8" ht="60" customHeight="1">
      <c r="A3" s="67" t="s">
        <v>277</v>
      </c>
      <c r="B3" s="8">
        <v>-1073741724</v>
      </c>
      <c r="C3" s="7" t="s">
        <v>310</v>
      </c>
      <c r="D3" s="11" t="s">
        <v>311</v>
      </c>
      <c r="E3" s="69" t="s">
        <v>278</v>
      </c>
      <c r="F3" s="7" t="s">
        <v>312</v>
      </c>
      <c r="G3" s="7" t="s">
        <v>313</v>
      </c>
      <c r="H3" s="7" t="s">
        <v>1389</v>
      </c>
    </row>
    <row r="4" spans="1:8" ht="60" customHeight="1">
      <c r="A4" s="67" t="s">
        <v>279</v>
      </c>
      <c r="B4" s="8">
        <v>-1073741718</v>
      </c>
      <c r="C4" s="7" t="s">
        <v>314</v>
      </c>
      <c r="D4" s="11" t="s">
        <v>311</v>
      </c>
      <c r="E4" s="69" t="s">
        <v>315</v>
      </c>
      <c r="F4" s="7" t="s">
        <v>316</v>
      </c>
      <c r="G4" s="7" t="s">
        <v>317</v>
      </c>
      <c r="H4" s="7" t="s">
        <v>1390</v>
      </c>
    </row>
    <row r="5" spans="1:8" ht="60" customHeight="1">
      <c r="A5" s="67" t="s">
        <v>281</v>
      </c>
      <c r="B5" s="8">
        <v>-1073741715</v>
      </c>
      <c r="C5" s="7" t="s">
        <v>318</v>
      </c>
      <c r="D5" s="11" t="s">
        <v>311</v>
      </c>
      <c r="E5" s="69" t="s">
        <v>319</v>
      </c>
      <c r="F5" s="7" t="s">
        <v>320</v>
      </c>
      <c r="G5" s="7" t="s">
        <v>321</v>
      </c>
      <c r="H5" s="7" t="s">
        <v>1391</v>
      </c>
    </row>
    <row r="6" spans="1:8" ht="60" customHeight="1">
      <c r="A6" s="67" t="s">
        <v>283</v>
      </c>
      <c r="B6" s="8">
        <v>-1073741714</v>
      </c>
      <c r="C6" s="7" t="s">
        <v>322</v>
      </c>
      <c r="D6" s="11" t="s">
        <v>311</v>
      </c>
      <c r="E6" s="10" t="s">
        <v>1450</v>
      </c>
      <c r="F6" s="7" t="s">
        <v>323</v>
      </c>
      <c r="G6" s="7" t="s">
        <v>1451</v>
      </c>
      <c r="H6" s="7" t="s">
        <v>1392</v>
      </c>
    </row>
    <row r="7" spans="1:8" ht="60" customHeight="1">
      <c r="A7" s="67" t="s">
        <v>285</v>
      </c>
      <c r="B7" s="8">
        <v>-1073741713</v>
      </c>
      <c r="C7" s="7" t="s">
        <v>324</v>
      </c>
      <c r="D7" s="11" t="s">
        <v>311</v>
      </c>
      <c r="E7" s="69" t="s">
        <v>286</v>
      </c>
      <c r="F7" s="7" t="s">
        <v>323</v>
      </c>
      <c r="G7" s="7" t="s">
        <v>325</v>
      </c>
      <c r="H7" s="7" t="s">
        <v>1393</v>
      </c>
    </row>
    <row r="8" spans="1:8" ht="60" customHeight="1">
      <c r="A8" s="67" t="s">
        <v>287</v>
      </c>
      <c r="B8" s="8">
        <v>-1073741712</v>
      </c>
      <c r="C8" s="7" t="s">
        <v>326</v>
      </c>
      <c r="D8" s="11" t="s">
        <v>311</v>
      </c>
      <c r="E8" s="69" t="s">
        <v>327</v>
      </c>
      <c r="F8" s="7" t="s">
        <v>323</v>
      </c>
      <c r="G8" s="7" t="s">
        <v>328</v>
      </c>
      <c r="H8" s="7" t="s">
        <v>1394</v>
      </c>
    </row>
    <row r="9" spans="1:8" ht="60" customHeight="1">
      <c r="A9" s="67" t="s">
        <v>289</v>
      </c>
      <c r="B9" s="8">
        <v>-1073741711</v>
      </c>
      <c r="C9" s="7" t="s">
        <v>329</v>
      </c>
      <c r="D9" s="11" t="s">
        <v>311</v>
      </c>
      <c r="E9" s="69" t="s">
        <v>290</v>
      </c>
      <c r="F9" s="7" t="s">
        <v>323</v>
      </c>
      <c r="G9" s="7" t="s">
        <v>330</v>
      </c>
      <c r="H9" s="7" t="s">
        <v>1395</v>
      </c>
    </row>
    <row r="10" spans="1:8" ht="60" customHeight="1">
      <c r="A10" s="67" t="s">
        <v>291</v>
      </c>
      <c r="B10" s="8">
        <v>-1073741710</v>
      </c>
      <c r="C10" s="7" t="s">
        <v>331</v>
      </c>
      <c r="D10" s="11" t="s">
        <v>311</v>
      </c>
      <c r="E10" s="10" t="s">
        <v>284</v>
      </c>
      <c r="F10" s="7" t="s">
        <v>323</v>
      </c>
      <c r="G10" s="7" t="s">
        <v>332</v>
      </c>
      <c r="H10" s="7" t="s">
        <v>1396</v>
      </c>
    </row>
    <row r="11" spans="1:8" ht="60" customHeight="1">
      <c r="A11" s="67" t="s">
        <v>292</v>
      </c>
      <c r="B11" s="8">
        <v>-1073741421</v>
      </c>
      <c r="C11" s="7" t="s">
        <v>333</v>
      </c>
      <c r="D11" s="11" t="s">
        <v>311</v>
      </c>
      <c r="E11" s="69" t="s">
        <v>293</v>
      </c>
      <c r="F11" s="7" t="s">
        <v>323</v>
      </c>
      <c r="G11" s="7" t="s">
        <v>334</v>
      </c>
      <c r="H11" s="7" t="s">
        <v>1397</v>
      </c>
    </row>
    <row r="12" spans="1:8" ht="60" customHeight="1">
      <c r="A12" s="67" t="s">
        <v>294</v>
      </c>
      <c r="B12" s="8">
        <v>-1073741276</v>
      </c>
      <c r="C12" s="7" t="s">
        <v>335</v>
      </c>
      <c r="D12" s="11" t="s">
        <v>311</v>
      </c>
      <c r="E12" s="10" t="s">
        <v>336</v>
      </c>
      <c r="F12" s="7" t="s">
        <v>323</v>
      </c>
      <c r="G12" s="7" t="s">
        <v>337</v>
      </c>
      <c r="H12" s="7" t="s">
        <v>1398</v>
      </c>
    </row>
    <row r="13" spans="1:8" ht="60" customHeight="1">
      <c r="A13" s="67" t="s">
        <v>296</v>
      </c>
      <c r="B13" s="8">
        <v>-1073741260</v>
      </c>
      <c r="C13" s="7" t="s">
        <v>338</v>
      </c>
      <c r="D13" s="11" t="s">
        <v>311</v>
      </c>
      <c r="E13" s="69" t="s">
        <v>297</v>
      </c>
      <c r="F13" s="7" t="s">
        <v>323</v>
      </c>
      <c r="G13" s="7" t="s">
        <v>339</v>
      </c>
      <c r="H13" s="7" t="s">
        <v>1399</v>
      </c>
    </row>
    <row r="14" spans="1:8" ht="60" customHeight="1">
      <c r="A14" s="67" t="s">
        <v>340</v>
      </c>
      <c r="B14" s="8">
        <v>18</v>
      </c>
      <c r="C14" s="7" t="s">
        <v>341</v>
      </c>
      <c r="D14" s="12" t="s">
        <v>342</v>
      </c>
      <c r="E14" s="69" t="s">
        <v>343</v>
      </c>
      <c r="F14" s="7" t="s">
        <v>344</v>
      </c>
      <c r="G14" s="7" t="s">
        <v>345</v>
      </c>
      <c r="H14" s="7" t="s">
        <v>1400</v>
      </c>
    </row>
    <row r="15" spans="1:8" ht="60" customHeight="1">
      <c r="A15" s="67" t="s">
        <v>346</v>
      </c>
      <c r="B15" s="8">
        <v>31</v>
      </c>
      <c r="C15" s="7" t="s">
        <v>347</v>
      </c>
      <c r="D15" s="12" t="s">
        <v>342</v>
      </c>
      <c r="E15" s="69" t="s">
        <v>348</v>
      </c>
      <c r="F15" s="7" t="s">
        <v>349</v>
      </c>
      <c r="G15" s="7" t="s">
        <v>350</v>
      </c>
      <c r="H15" s="7" t="s">
        <v>1401</v>
      </c>
    </row>
    <row r="16" spans="1:8" ht="60" customHeight="1">
      <c r="A16" s="67" t="s">
        <v>351</v>
      </c>
      <c r="B16" s="8">
        <v>32</v>
      </c>
      <c r="C16" s="7" t="s">
        <v>352</v>
      </c>
      <c r="D16" s="12" t="s">
        <v>342</v>
      </c>
      <c r="E16" s="10" t="s">
        <v>353</v>
      </c>
      <c r="F16" s="7" t="s">
        <v>354</v>
      </c>
      <c r="G16" s="7" t="s">
        <v>355</v>
      </c>
      <c r="H16" s="7" t="s">
        <v>1402</v>
      </c>
    </row>
    <row r="17" spans="1:8" ht="60" customHeight="1">
      <c r="A17" s="67" t="s">
        <v>356</v>
      </c>
      <c r="B17" s="8">
        <v>6</v>
      </c>
      <c r="C17" s="7" t="s">
        <v>357</v>
      </c>
      <c r="D17" s="12" t="s">
        <v>342</v>
      </c>
      <c r="E17" s="68" t="s">
        <v>358</v>
      </c>
      <c r="F17" s="7" t="s">
        <v>359</v>
      </c>
      <c r="G17" s="7" t="s">
        <v>360</v>
      </c>
      <c r="H17" s="7" t="s">
        <v>1403</v>
      </c>
    </row>
    <row r="18" spans="1:8" ht="60" customHeight="1">
      <c r="A18" s="67" t="s">
        <v>361</v>
      </c>
      <c r="B18" s="8">
        <v>7</v>
      </c>
      <c r="C18" s="7" t="s">
        <v>362</v>
      </c>
      <c r="D18" s="12" t="s">
        <v>342</v>
      </c>
      <c r="E18" s="69" t="s">
        <v>363</v>
      </c>
      <c r="F18" s="7" t="s">
        <v>344</v>
      </c>
      <c r="G18" s="7" t="s">
        <v>364</v>
      </c>
      <c r="H18" s="7" t="s">
        <v>1404</v>
      </c>
    </row>
    <row r="19" spans="1:8" ht="60" customHeight="1">
      <c r="A19" s="67" t="s">
        <v>365</v>
      </c>
      <c r="B19" s="8">
        <v>8</v>
      </c>
      <c r="C19" s="7" t="s">
        <v>366</v>
      </c>
      <c r="D19" s="12" t="s">
        <v>342</v>
      </c>
      <c r="E19" s="10" t="s">
        <v>367</v>
      </c>
      <c r="F19" s="7" t="s">
        <v>349</v>
      </c>
      <c r="G19" s="7" t="s">
        <v>368</v>
      </c>
      <c r="H19" s="7" t="s">
        <v>1405</v>
      </c>
    </row>
    <row r="20" spans="1:8" ht="60" customHeight="1">
      <c r="A20" s="67" t="s">
        <v>369</v>
      </c>
      <c r="B20" s="8">
        <v>12</v>
      </c>
      <c r="C20" s="7" t="s">
        <v>370</v>
      </c>
      <c r="D20" s="12" t="s">
        <v>342</v>
      </c>
      <c r="E20" s="69" t="s">
        <v>371</v>
      </c>
      <c r="F20" s="7" t="s">
        <v>344</v>
      </c>
      <c r="G20" s="7" t="s">
        <v>372</v>
      </c>
      <c r="H20" s="7" t="s">
        <v>1406</v>
      </c>
    </row>
    <row r="21" spans="1:8" ht="60" customHeight="1">
      <c r="A21" s="67" t="s">
        <v>279</v>
      </c>
      <c r="B21" s="8">
        <v>-1073741718</v>
      </c>
      <c r="C21" s="7" t="s">
        <v>373</v>
      </c>
      <c r="D21" s="14" t="s">
        <v>374</v>
      </c>
      <c r="E21" s="13" t="s">
        <v>375</v>
      </c>
      <c r="F21" s="7" t="s">
        <v>376</v>
      </c>
      <c r="G21" s="7" t="s">
        <v>377</v>
      </c>
      <c r="H21" s="7" t="s">
        <v>1407</v>
      </c>
    </row>
    <row r="22" spans="1:8" ht="60" customHeight="1">
      <c r="A22" s="67" t="s">
        <v>294</v>
      </c>
      <c r="B22" s="8">
        <v>-1073741276</v>
      </c>
      <c r="C22" s="7" t="s">
        <v>378</v>
      </c>
      <c r="D22" s="14" t="s">
        <v>374</v>
      </c>
      <c r="E22" s="13" t="s">
        <v>379</v>
      </c>
      <c r="F22" s="7">
        <v>4776</v>
      </c>
      <c r="G22" s="7" t="s">
        <v>337</v>
      </c>
      <c r="H22" s="7" t="s">
        <v>1408</v>
      </c>
    </row>
    <row r="23" spans="1:8" ht="60" customHeight="1">
      <c r="A23" s="67" t="s">
        <v>296</v>
      </c>
      <c r="B23" s="8">
        <v>-1073741260</v>
      </c>
      <c r="C23" s="7" t="s">
        <v>380</v>
      </c>
      <c r="D23" s="14" t="s">
        <v>374</v>
      </c>
      <c r="E23" s="13" t="s">
        <v>381</v>
      </c>
      <c r="F23" s="7">
        <v>4776</v>
      </c>
      <c r="G23" s="7" t="s">
        <v>382</v>
      </c>
      <c r="H23" s="7" t="s">
        <v>1409</v>
      </c>
    </row>
    <row r="24" spans="1:8" ht="60" customHeight="1">
      <c r="A24" s="67" t="s">
        <v>383</v>
      </c>
      <c r="B24" s="8">
        <v>-1073741790</v>
      </c>
      <c r="C24" s="7" t="s">
        <v>384</v>
      </c>
      <c r="D24" s="15" t="s">
        <v>385</v>
      </c>
      <c r="E24" s="10" t="s">
        <v>386</v>
      </c>
      <c r="F24" s="7" t="s">
        <v>387</v>
      </c>
      <c r="G24" s="7" t="s">
        <v>388</v>
      </c>
      <c r="H24" s="7" t="s">
        <v>1410</v>
      </c>
    </row>
    <row r="25" spans="1:8" ht="60" customHeight="1">
      <c r="A25" s="67" t="s">
        <v>389</v>
      </c>
      <c r="B25" s="8">
        <v>-1073741772</v>
      </c>
      <c r="C25" s="7" t="s">
        <v>390</v>
      </c>
      <c r="D25" s="15" t="s">
        <v>385</v>
      </c>
      <c r="E25" s="10" t="s">
        <v>391</v>
      </c>
      <c r="F25" s="7" t="s">
        <v>392</v>
      </c>
      <c r="G25" s="7" t="s">
        <v>393</v>
      </c>
      <c r="H25" s="7" t="s">
        <v>1411</v>
      </c>
    </row>
    <row r="26" spans="1:8" ht="60" customHeight="1">
      <c r="A26" s="67" t="s">
        <v>394</v>
      </c>
      <c r="B26" s="8">
        <v>-1073741766</v>
      </c>
      <c r="C26" s="7" t="s">
        <v>395</v>
      </c>
      <c r="D26" s="15" t="s">
        <v>385</v>
      </c>
      <c r="E26" s="10" t="s">
        <v>396</v>
      </c>
      <c r="F26" s="7" t="s">
        <v>392</v>
      </c>
      <c r="G26" s="7" t="s">
        <v>397</v>
      </c>
      <c r="H26" s="7" t="s">
        <v>1412</v>
      </c>
    </row>
    <row r="27" spans="1:8" ht="60" customHeight="1">
      <c r="A27" s="67" t="s">
        <v>398</v>
      </c>
      <c r="B27" s="8">
        <v>-1073741738</v>
      </c>
      <c r="C27" s="7" t="s">
        <v>399</v>
      </c>
      <c r="D27" s="15" t="s">
        <v>385</v>
      </c>
      <c r="E27" s="10" t="s">
        <v>400</v>
      </c>
      <c r="F27" s="7" t="s">
        <v>392</v>
      </c>
      <c r="G27" s="7" t="s">
        <v>401</v>
      </c>
      <c r="H27" s="7" t="s">
        <v>1413</v>
      </c>
    </row>
    <row r="28" spans="1:8" ht="60" customHeight="1">
      <c r="A28" s="67" t="s">
        <v>402</v>
      </c>
      <c r="B28" s="8">
        <v>-1073741705</v>
      </c>
      <c r="C28" s="7" t="s">
        <v>403</v>
      </c>
      <c r="D28" s="15" t="s">
        <v>385</v>
      </c>
      <c r="E28" s="10" t="s">
        <v>404</v>
      </c>
      <c r="F28" s="7" t="s">
        <v>392</v>
      </c>
      <c r="G28" s="7" t="s">
        <v>405</v>
      </c>
      <c r="H28" s="7" t="s">
        <v>1414</v>
      </c>
    </row>
    <row r="29" spans="1:8" ht="60" customHeight="1">
      <c r="A29" s="67" t="s">
        <v>406</v>
      </c>
      <c r="B29" s="8">
        <v>-1073741670</v>
      </c>
      <c r="C29" s="7" t="s">
        <v>407</v>
      </c>
      <c r="D29" s="15" t="s">
        <v>385</v>
      </c>
      <c r="E29" s="10" t="s">
        <v>408</v>
      </c>
      <c r="F29" s="7" t="s">
        <v>392</v>
      </c>
      <c r="G29" s="7" t="s">
        <v>409</v>
      </c>
      <c r="H29" s="7" t="s">
        <v>1415</v>
      </c>
    </row>
    <row r="30" spans="1:8" ht="60" customHeight="1">
      <c r="A30" s="67" t="s">
        <v>410</v>
      </c>
      <c r="B30" s="8">
        <v>-1073741771</v>
      </c>
      <c r="C30" s="7" t="s">
        <v>411</v>
      </c>
      <c r="D30" s="16" t="s">
        <v>412</v>
      </c>
      <c r="E30" s="10" t="s">
        <v>413</v>
      </c>
      <c r="F30" s="7" t="s">
        <v>414</v>
      </c>
      <c r="G30" s="7" t="s">
        <v>415</v>
      </c>
      <c r="H30" s="7" t="s">
        <v>1416</v>
      </c>
    </row>
    <row r="31" spans="1:8" ht="60" customHeight="1">
      <c r="A31" s="67" t="s">
        <v>416</v>
      </c>
      <c r="B31" s="8">
        <v>-1073741769</v>
      </c>
      <c r="C31" s="7" t="s">
        <v>417</v>
      </c>
      <c r="D31" s="16" t="s">
        <v>412</v>
      </c>
      <c r="E31" s="10" t="s">
        <v>418</v>
      </c>
      <c r="F31" s="7">
        <v>4657</v>
      </c>
      <c r="G31" s="7" t="s">
        <v>419</v>
      </c>
      <c r="H31" s="7" t="s">
        <v>1417</v>
      </c>
    </row>
    <row r="32" spans="1:8" ht="60" customHeight="1">
      <c r="A32" s="67" t="s">
        <v>420</v>
      </c>
      <c r="B32" s="8">
        <v>-1073741307</v>
      </c>
      <c r="C32" s="7" t="s">
        <v>421</v>
      </c>
      <c r="D32" s="17" t="s">
        <v>422</v>
      </c>
      <c r="E32" s="10" t="s">
        <v>423</v>
      </c>
      <c r="F32" s="7" t="s">
        <v>424</v>
      </c>
      <c r="G32" s="7" t="s">
        <v>425</v>
      </c>
      <c r="H32" s="7" t="s">
        <v>1418</v>
      </c>
    </row>
    <row r="33" spans="1:8" ht="60" customHeight="1">
      <c r="A33" s="67" t="s">
        <v>426</v>
      </c>
      <c r="B33" s="8">
        <v>-1073741306</v>
      </c>
      <c r="C33" s="7" t="s">
        <v>427</v>
      </c>
      <c r="D33" s="17" t="s">
        <v>422</v>
      </c>
      <c r="E33" s="10" t="s">
        <v>428</v>
      </c>
      <c r="F33" s="7" t="s">
        <v>429</v>
      </c>
      <c r="G33" s="7" t="s">
        <v>430</v>
      </c>
      <c r="H33" s="7" t="s">
        <v>1419</v>
      </c>
    </row>
    <row r="34" spans="1:8" ht="60" customHeight="1">
      <c r="A34" s="67" t="s">
        <v>431</v>
      </c>
      <c r="B34" s="8">
        <v>-1073741259</v>
      </c>
      <c r="C34" s="7" t="s">
        <v>432</v>
      </c>
      <c r="D34" s="17" t="s">
        <v>422</v>
      </c>
      <c r="E34" s="10" t="s">
        <v>433</v>
      </c>
      <c r="F34" s="7" t="s">
        <v>429</v>
      </c>
      <c r="G34" s="7" t="s">
        <v>434</v>
      </c>
      <c r="H34" s="7" t="s">
        <v>1420</v>
      </c>
    </row>
    <row r="35" spans="1:8" ht="60" customHeight="1">
      <c r="A35" s="67" t="s">
        <v>435</v>
      </c>
      <c r="B35" s="8">
        <v>-1073741258</v>
      </c>
      <c r="C35" s="7" t="s">
        <v>436</v>
      </c>
      <c r="D35" s="17" t="s">
        <v>422</v>
      </c>
      <c r="E35" s="10" t="s">
        <v>437</v>
      </c>
      <c r="F35" s="7" t="s">
        <v>429</v>
      </c>
      <c r="G35" s="7" t="s">
        <v>438</v>
      </c>
      <c r="H35" s="7" t="s">
        <v>1421</v>
      </c>
    </row>
    <row r="36" spans="1:8" ht="60" customHeight="1">
      <c r="A36" s="67" t="s">
        <v>439</v>
      </c>
      <c r="B36" s="8">
        <v>-1073741727</v>
      </c>
      <c r="C36" s="7" t="s">
        <v>440</v>
      </c>
      <c r="D36" s="18" t="s">
        <v>441</v>
      </c>
      <c r="E36" s="19" t="s">
        <v>442</v>
      </c>
      <c r="F36" s="7" t="s">
        <v>443</v>
      </c>
      <c r="G36" s="7" t="s">
        <v>444</v>
      </c>
      <c r="H36" s="7" t="s">
        <v>1422</v>
      </c>
    </row>
    <row r="37" spans="1:8" ht="60" customHeight="1">
      <c r="A37" s="67" t="s">
        <v>445</v>
      </c>
      <c r="B37" s="8">
        <v>-1073741666</v>
      </c>
      <c r="C37" s="7" t="s">
        <v>446</v>
      </c>
      <c r="D37" s="18" t="s">
        <v>441</v>
      </c>
      <c r="E37" s="19" t="s">
        <v>447</v>
      </c>
      <c r="F37" s="7" t="s">
        <v>448</v>
      </c>
      <c r="G37" s="7" t="s">
        <v>449</v>
      </c>
      <c r="H37" s="7" t="s">
        <v>1423</v>
      </c>
    </row>
    <row r="38" spans="1:8" ht="60" customHeight="1">
      <c r="A38" s="67" t="s">
        <v>450</v>
      </c>
      <c r="B38" s="8">
        <v>-1073741819</v>
      </c>
      <c r="C38" s="7" t="s">
        <v>451</v>
      </c>
      <c r="D38" s="20" t="s">
        <v>452</v>
      </c>
      <c r="E38" s="19" t="s">
        <v>453</v>
      </c>
      <c r="F38" s="7" t="s">
        <v>454</v>
      </c>
      <c r="G38" s="7" t="s">
        <v>455</v>
      </c>
      <c r="H38" s="7" t="s">
        <v>1424</v>
      </c>
    </row>
    <row r="39" spans="1:8" ht="60" customHeight="1">
      <c r="A39" s="67" t="s">
        <v>456</v>
      </c>
      <c r="B39" s="8">
        <v>-1073741795</v>
      </c>
      <c r="C39" s="7" t="s">
        <v>457</v>
      </c>
      <c r="D39" s="20" t="s">
        <v>452</v>
      </c>
      <c r="E39" s="19" t="s">
        <v>458</v>
      </c>
      <c r="F39" s="7" t="s">
        <v>459</v>
      </c>
      <c r="G39" s="7" t="s">
        <v>460</v>
      </c>
      <c r="H39" s="7" t="s">
        <v>1425</v>
      </c>
    </row>
    <row r="40" spans="1:8" ht="60" customHeight="1">
      <c r="A40" s="67" t="s">
        <v>461</v>
      </c>
      <c r="B40" s="8">
        <v>-1073741786</v>
      </c>
      <c r="C40" s="7" t="s">
        <v>462</v>
      </c>
      <c r="D40" s="20" t="s">
        <v>452</v>
      </c>
      <c r="E40" s="19" t="s">
        <v>463</v>
      </c>
      <c r="F40" s="7" t="s">
        <v>464</v>
      </c>
      <c r="G40" s="7" t="s">
        <v>465</v>
      </c>
      <c r="H40" s="7" t="s">
        <v>1426</v>
      </c>
    </row>
    <row r="41" spans="1:8" ht="60" customHeight="1">
      <c r="A41" s="67" t="s">
        <v>466</v>
      </c>
      <c r="B41" s="8">
        <v>-1073741785</v>
      </c>
      <c r="C41" s="7" t="s">
        <v>467</v>
      </c>
      <c r="D41" s="20" t="s">
        <v>452</v>
      </c>
      <c r="E41" s="19" t="s">
        <v>468</v>
      </c>
      <c r="F41" s="7" t="s">
        <v>459</v>
      </c>
      <c r="G41" s="7" t="s">
        <v>469</v>
      </c>
      <c r="H41" s="7" t="s">
        <v>1427</v>
      </c>
    </row>
    <row r="42" spans="1:8" ht="60" customHeight="1">
      <c r="A42" s="67" t="s">
        <v>470</v>
      </c>
      <c r="B42" s="8">
        <v>-1073741783</v>
      </c>
      <c r="C42" s="7" t="s">
        <v>471</v>
      </c>
      <c r="D42" s="20" t="s">
        <v>452</v>
      </c>
      <c r="E42" s="19" t="s">
        <v>472</v>
      </c>
      <c r="F42" s="7">
        <v>4688</v>
      </c>
      <c r="G42" s="7" t="s">
        <v>473</v>
      </c>
      <c r="H42" s="7" t="s">
        <v>1428</v>
      </c>
    </row>
    <row r="43" spans="1:8" ht="60" customHeight="1">
      <c r="A43" s="67" t="s">
        <v>474</v>
      </c>
      <c r="B43" s="8">
        <v>-1073741768</v>
      </c>
      <c r="C43" s="7" t="s">
        <v>475</v>
      </c>
      <c r="D43" s="20" t="s">
        <v>452</v>
      </c>
      <c r="E43" s="19" t="s">
        <v>476</v>
      </c>
      <c r="F43" s="7" t="s">
        <v>477</v>
      </c>
      <c r="G43" s="7" t="s">
        <v>478</v>
      </c>
      <c r="H43" s="7" t="s">
        <v>1429</v>
      </c>
    </row>
    <row r="44" spans="1:8" ht="60" customHeight="1">
      <c r="A44" s="67" t="s">
        <v>479</v>
      </c>
      <c r="B44" s="8">
        <v>-1073741759</v>
      </c>
      <c r="C44" s="7" t="s">
        <v>480</v>
      </c>
      <c r="D44" s="20" t="s">
        <v>452</v>
      </c>
      <c r="E44" s="19" t="s">
        <v>481</v>
      </c>
      <c r="F44" s="7" t="s">
        <v>459</v>
      </c>
      <c r="G44" s="7" t="s">
        <v>482</v>
      </c>
      <c r="H44" s="7" t="s">
        <v>1430</v>
      </c>
    </row>
    <row r="45" spans="1:8" ht="60" customHeight="1">
      <c r="A45" s="67" t="s">
        <v>483</v>
      </c>
      <c r="B45" s="8">
        <v>-1073741757</v>
      </c>
      <c r="C45" s="7" t="s">
        <v>421</v>
      </c>
      <c r="D45" s="20" t="s">
        <v>452</v>
      </c>
      <c r="E45" s="19" t="s">
        <v>484</v>
      </c>
      <c r="F45" s="7" t="s">
        <v>459</v>
      </c>
      <c r="G45" s="7" t="s">
        <v>485</v>
      </c>
      <c r="H45" s="7" t="s">
        <v>1431</v>
      </c>
    </row>
    <row r="46" spans="1:8" ht="60" customHeight="1">
      <c r="A46" s="67" t="s">
        <v>398</v>
      </c>
      <c r="B46" s="8">
        <v>-1073741738</v>
      </c>
      <c r="C46" s="7" t="s">
        <v>399</v>
      </c>
      <c r="D46" s="20" t="s">
        <v>452</v>
      </c>
      <c r="E46" s="19" t="s">
        <v>400</v>
      </c>
      <c r="F46" s="7" t="s">
        <v>459</v>
      </c>
      <c r="G46" s="7" t="s">
        <v>401</v>
      </c>
      <c r="H46" s="7" t="s">
        <v>1413</v>
      </c>
    </row>
    <row r="47" spans="1:8" ht="60" customHeight="1">
      <c r="A47" s="67" t="s">
        <v>486</v>
      </c>
      <c r="B47" s="8">
        <v>-1073741684</v>
      </c>
      <c r="C47" s="7" t="s">
        <v>487</v>
      </c>
      <c r="D47" s="20" t="s">
        <v>452</v>
      </c>
      <c r="E47" s="19" t="s">
        <v>488</v>
      </c>
      <c r="F47" s="7" t="s">
        <v>459</v>
      </c>
      <c r="G47" s="7" t="s">
        <v>489</v>
      </c>
      <c r="H47" s="7" t="s">
        <v>1432</v>
      </c>
    </row>
    <row r="48" spans="1:8" ht="60" customHeight="1">
      <c r="A48" s="67" t="s">
        <v>490</v>
      </c>
      <c r="B48" s="8">
        <v>-1073741683</v>
      </c>
      <c r="C48" s="7" t="s">
        <v>491</v>
      </c>
      <c r="D48" s="20" t="s">
        <v>452</v>
      </c>
      <c r="E48" s="19" t="s">
        <v>492</v>
      </c>
      <c r="F48" s="7" t="s">
        <v>459</v>
      </c>
      <c r="G48" s="7" t="s">
        <v>493</v>
      </c>
      <c r="H48" s="7" t="s">
        <v>1433</v>
      </c>
    </row>
    <row r="49" spans="1:8" ht="60" customHeight="1">
      <c r="A49" s="67" t="s">
        <v>494</v>
      </c>
      <c r="B49" s="8">
        <v>-1073741682</v>
      </c>
      <c r="C49" s="7" t="s">
        <v>495</v>
      </c>
      <c r="D49" s="20" t="s">
        <v>452</v>
      </c>
      <c r="E49" s="19" t="s">
        <v>496</v>
      </c>
      <c r="F49" s="7" t="s">
        <v>459</v>
      </c>
      <c r="G49" s="7" t="s">
        <v>497</v>
      </c>
      <c r="H49" s="7" t="s">
        <v>1434</v>
      </c>
    </row>
    <row r="50" spans="1:8" ht="60" customHeight="1">
      <c r="A50" s="67" t="s">
        <v>498</v>
      </c>
      <c r="B50" s="8">
        <v>-1073741571</v>
      </c>
      <c r="C50" s="7" t="s">
        <v>499</v>
      </c>
      <c r="D50" s="20" t="s">
        <v>452</v>
      </c>
      <c r="E50" s="19" t="s">
        <v>500</v>
      </c>
      <c r="F50" s="7" t="s">
        <v>459</v>
      </c>
      <c r="G50" s="7" t="s">
        <v>501</v>
      </c>
      <c r="H50" s="7" t="s">
        <v>1435</v>
      </c>
    </row>
    <row r="51" spans="1:8" ht="60" customHeight="1">
      <c r="A51" s="67" t="s">
        <v>502</v>
      </c>
      <c r="B51" s="8">
        <v>-1073741515</v>
      </c>
      <c r="C51" s="7" t="s">
        <v>503</v>
      </c>
      <c r="D51" s="20" t="s">
        <v>452</v>
      </c>
      <c r="E51" s="19" t="s">
        <v>504</v>
      </c>
      <c r="F51" s="7" t="s">
        <v>505</v>
      </c>
      <c r="G51" s="7" t="s">
        <v>506</v>
      </c>
      <c r="H51" s="7" t="s">
        <v>1436</v>
      </c>
    </row>
    <row r="52" spans="1:8" ht="60" customHeight="1">
      <c r="A52" s="67" t="s">
        <v>507</v>
      </c>
      <c r="B52" s="8">
        <v>-1073741511</v>
      </c>
      <c r="C52" s="7" t="s">
        <v>508</v>
      </c>
      <c r="D52" s="20" t="s">
        <v>452</v>
      </c>
      <c r="E52" s="19" t="s">
        <v>509</v>
      </c>
      <c r="F52" s="7">
        <v>4688</v>
      </c>
      <c r="G52" s="7" t="s">
        <v>510</v>
      </c>
      <c r="H52" s="7" t="s">
        <v>1437</v>
      </c>
    </row>
    <row r="53" spans="1:8" ht="60" customHeight="1">
      <c r="A53" s="67" t="s">
        <v>511</v>
      </c>
      <c r="B53" s="8">
        <v>-1073741502</v>
      </c>
      <c r="C53" s="7" t="s">
        <v>512</v>
      </c>
      <c r="D53" s="20" t="s">
        <v>452</v>
      </c>
      <c r="E53" s="19" t="s">
        <v>513</v>
      </c>
      <c r="F53" s="7">
        <v>4688</v>
      </c>
      <c r="G53" s="7" t="s">
        <v>514</v>
      </c>
      <c r="H53" s="7" t="s">
        <v>1438</v>
      </c>
    </row>
    <row r="54" spans="1:8" ht="60" customHeight="1">
      <c r="A54" s="67" t="s">
        <v>383</v>
      </c>
      <c r="B54" s="8">
        <v>-1073741790</v>
      </c>
      <c r="C54" s="7" t="s">
        <v>515</v>
      </c>
      <c r="D54" s="21" t="s">
        <v>516</v>
      </c>
      <c r="E54" s="10" t="s">
        <v>517</v>
      </c>
      <c r="F54" s="7" t="s">
        <v>518</v>
      </c>
      <c r="G54" s="7" t="s">
        <v>519</v>
      </c>
      <c r="H54" s="7" t="s">
        <v>1439</v>
      </c>
    </row>
    <row r="55" spans="1:8" ht="60" customHeight="1">
      <c r="A55" s="67" t="s">
        <v>389</v>
      </c>
      <c r="B55" s="8">
        <v>-1073741772</v>
      </c>
      <c r="C55" s="7" t="s">
        <v>520</v>
      </c>
      <c r="D55" s="21" t="s">
        <v>516</v>
      </c>
      <c r="E55" s="10" t="s">
        <v>521</v>
      </c>
      <c r="F55" s="7" t="s">
        <v>518</v>
      </c>
      <c r="G55" s="7" t="s">
        <v>522</v>
      </c>
      <c r="H55" s="7" t="s">
        <v>1440</v>
      </c>
    </row>
    <row r="56" spans="1:8" ht="60" customHeight="1">
      <c r="A56" s="67" t="s">
        <v>483</v>
      </c>
      <c r="B56" s="8">
        <v>-1073741757</v>
      </c>
      <c r="C56" s="7" t="s">
        <v>523</v>
      </c>
      <c r="D56" s="21" t="s">
        <v>516</v>
      </c>
      <c r="E56" s="10" t="s">
        <v>524</v>
      </c>
      <c r="F56" s="7" t="s">
        <v>518</v>
      </c>
      <c r="G56" s="7" t="s">
        <v>525</v>
      </c>
      <c r="H56" s="7" t="s">
        <v>1441</v>
      </c>
    </row>
    <row r="57" spans="1:8" ht="60" customHeight="1">
      <c r="A57" s="67" t="s">
        <v>526</v>
      </c>
      <c r="B57" s="8">
        <v>-1073741288</v>
      </c>
      <c r="C57" s="7" t="s">
        <v>527</v>
      </c>
      <c r="D57" s="11" t="s">
        <v>528</v>
      </c>
      <c r="E57" s="19" t="s">
        <v>529</v>
      </c>
      <c r="F57" s="7" t="s">
        <v>530</v>
      </c>
      <c r="G57" s="7" t="s">
        <v>531</v>
      </c>
      <c r="H57" s="7" t="s">
        <v>1442</v>
      </c>
    </row>
    <row r="58" spans="1:8" ht="60" customHeight="1">
      <c r="A58" s="67" t="s">
        <v>532</v>
      </c>
      <c r="B58" s="8">
        <v>-1073741286</v>
      </c>
      <c r="C58" s="7" t="s">
        <v>533</v>
      </c>
      <c r="D58" s="11" t="s">
        <v>528</v>
      </c>
      <c r="E58" s="22" t="s">
        <v>534</v>
      </c>
      <c r="F58" s="7" t="s">
        <v>535</v>
      </c>
      <c r="G58" s="7" t="s">
        <v>536</v>
      </c>
      <c r="H58" s="7" t="s">
        <v>1443</v>
      </c>
    </row>
    <row r="59" spans="1:8" ht="60" customHeight="1">
      <c r="A59" s="67" t="s">
        <v>537</v>
      </c>
      <c r="B59" s="8">
        <v>-1073741279</v>
      </c>
      <c r="C59" s="7" t="s">
        <v>538</v>
      </c>
      <c r="D59" s="11" t="s">
        <v>528</v>
      </c>
      <c r="E59" s="19" t="s">
        <v>539</v>
      </c>
      <c r="F59" s="7" t="s">
        <v>540</v>
      </c>
      <c r="G59" s="7" t="s">
        <v>541</v>
      </c>
      <c r="H59" s="7" t="s">
        <v>1444</v>
      </c>
    </row>
    <row r="60" spans="1:8" ht="60" customHeight="1">
      <c r="A60" s="67" t="s">
        <v>542</v>
      </c>
      <c r="B60" s="8">
        <v>5</v>
      </c>
      <c r="C60" s="7" t="s">
        <v>543</v>
      </c>
      <c r="D60" s="15" t="s">
        <v>544</v>
      </c>
      <c r="E60" s="10" t="s">
        <v>545</v>
      </c>
      <c r="F60" s="7" t="s">
        <v>546</v>
      </c>
      <c r="G60" s="7" t="s">
        <v>547</v>
      </c>
      <c r="H60" s="7" t="s">
        <v>1445</v>
      </c>
    </row>
    <row r="61" spans="1:8" ht="60" customHeight="1">
      <c r="A61" s="67" t="s">
        <v>548</v>
      </c>
      <c r="B61" s="8">
        <v>1722</v>
      </c>
      <c r="C61" s="7" t="s">
        <v>549</v>
      </c>
      <c r="D61" s="15" t="s">
        <v>544</v>
      </c>
      <c r="E61" s="69" t="s">
        <v>550</v>
      </c>
      <c r="F61" s="7" t="s">
        <v>551</v>
      </c>
      <c r="G61" s="7" t="s">
        <v>552</v>
      </c>
      <c r="H61" s="7" t="s">
        <v>1446</v>
      </c>
    </row>
    <row r="62" spans="1:8" ht="60" customHeight="1">
      <c r="A62" s="67" t="s">
        <v>553</v>
      </c>
      <c r="B62" s="8">
        <v>-2147217407</v>
      </c>
      <c r="C62" s="7" t="s">
        <v>554</v>
      </c>
      <c r="D62" s="16" t="s">
        <v>555</v>
      </c>
      <c r="E62" s="10" t="s">
        <v>556</v>
      </c>
      <c r="F62" s="7" t="s">
        <v>557</v>
      </c>
      <c r="G62" s="7" t="s">
        <v>558</v>
      </c>
      <c r="H62" s="7" t="s">
        <v>1447</v>
      </c>
    </row>
    <row r="63" spans="1:8" ht="60" customHeight="1">
      <c r="A63" s="67" t="s">
        <v>559</v>
      </c>
      <c r="B63" s="8">
        <v>-2147217405</v>
      </c>
      <c r="C63" s="7" t="s">
        <v>560</v>
      </c>
      <c r="D63" s="16" t="s">
        <v>555</v>
      </c>
      <c r="E63" s="10" t="s">
        <v>561</v>
      </c>
      <c r="F63" s="7" t="s">
        <v>562</v>
      </c>
      <c r="G63" s="7" t="s">
        <v>563</v>
      </c>
      <c r="H63" s="7" t="s">
        <v>1448</v>
      </c>
    </row>
    <row r="64" spans="1:8" ht="60" customHeight="1">
      <c r="A64" s="67" t="s">
        <v>564</v>
      </c>
      <c r="B64" s="8">
        <v>-2146893042</v>
      </c>
      <c r="C64" s="7" t="s">
        <v>565</v>
      </c>
      <c r="D64" s="12" t="s">
        <v>566</v>
      </c>
      <c r="E64" s="10" t="s">
        <v>567</v>
      </c>
      <c r="F64" s="7" t="s">
        <v>568</v>
      </c>
      <c r="G64" s="7" t="s">
        <v>569</v>
      </c>
      <c r="H64" s="7" t="s">
        <v>1449</v>
      </c>
    </row>
    <row r="65" spans="1:8" ht="60" customHeight="1">
      <c r="A65" s="67" t="s">
        <v>570</v>
      </c>
      <c r="B65" s="8" t="s">
        <v>571</v>
      </c>
      <c r="C65" s="7" t="s">
        <v>572</v>
      </c>
      <c r="D65" s="12" t="s">
        <v>566</v>
      </c>
      <c r="E65" s="10" t="s">
        <v>573</v>
      </c>
      <c r="F65" s="7" t="s">
        <v>574</v>
      </c>
      <c r="G65" s="7" t="s">
        <v>575</v>
      </c>
      <c r="H65" s="7" t="s">
        <v>576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BC2B1-B333-49A7-B0E2-9831031918F4}">
  <sheetPr>
    <tabColor theme="4" tint="0.59999389629810485"/>
  </sheetPr>
  <dimension ref="A1:I144"/>
  <sheetViews>
    <sheetView zoomScale="115" zoomScaleNormal="115" workbookViewId="0">
      <pane ySplit="5" topLeftCell="A6" activePane="bottomLeft" state="frozen"/>
      <selection pane="bottomLeft" sqref="A1:I1"/>
    </sheetView>
  </sheetViews>
  <sheetFormatPr defaultRowHeight="15"/>
  <cols>
    <col min="1" max="1" width="8" customWidth="1"/>
    <col min="2" max="2" width="37.28515625" customWidth="1"/>
    <col min="3" max="3" width="24" customWidth="1"/>
    <col min="4" max="4" width="56" customWidth="1"/>
    <col min="5" max="5" width="31.140625" customWidth="1"/>
    <col min="6" max="6" width="29.28515625" customWidth="1"/>
    <col min="7" max="7" width="93.28515625" customWidth="1"/>
    <col min="8" max="8" width="50.7109375" customWidth="1"/>
    <col min="9" max="9" width="18.7109375" customWidth="1"/>
  </cols>
  <sheetData>
    <row r="1" spans="1:9" ht="21">
      <c r="A1" s="303" t="s">
        <v>1725</v>
      </c>
      <c r="B1" s="303"/>
      <c r="C1" s="303"/>
      <c r="D1" s="303"/>
      <c r="E1" s="303"/>
      <c r="F1" s="303"/>
      <c r="G1" s="303"/>
      <c r="H1" s="303"/>
      <c r="I1" s="303"/>
    </row>
    <row r="2" spans="1:9">
      <c r="A2" s="304" t="s">
        <v>1726</v>
      </c>
      <c r="B2" s="304"/>
      <c r="C2" s="304"/>
      <c r="D2" s="304"/>
      <c r="E2" s="304"/>
      <c r="F2" s="304"/>
      <c r="G2" s="304"/>
      <c r="H2" s="304"/>
      <c r="I2" s="304"/>
    </row>
    <row r="4" spans="1:9" ht="15.75">
      <c r="A4" s="305" t="s">
        <v>1727</v>
      </c>
      <c r="B4" s="305"/>
      <c r="C4" s="305"/>
      <c r="D4" s="305"/>
      <c r="E4" s="305"/>
      <c r="F4" s="305"/>
      <c r="G4" s="305"/>
      <c r="H4" s="305"/>
      <c r="I4" s="305"/>
    </row>
    <row r="5" spans="1:9">
      <c r="A5" s="95" t="s">
        <v>1728</v>
      </c>
      <c r="B5" s="95" t="s">
        <v>1729</v>
      </c>
      <c r="C5" s="95" t="s">
        <v>1730</v>
      </c>
      <c r="D5" s="95" t="s">
        <v>1731</v>
      </c>
      <c r="E5" s="95" t="s">
        <v>885</v>
      </c>
      <c r="F5" s="95" t="s">
        <v>1732</v>
      </c>
      <c r="G5" s="95" t="s">
        <v>1733</v>
      </c>
      <c r="H5" s="95" t="s">
        <v>1734</v>
      </c>
      <c r="I5" s="95" t="s">
        <v>1735</v>
      </c>
    </row>
    <row r="6" spans="1:9" ht="36" customHeight="1">
      <c r="A6" s="96">
        <v>1</v>
      </c>
      <c r="B6" s="97" t="s">
        <v>1736</v>
      </c>
      <c r="C6" s="96" t="s">
        <v>1737</v>
      </c>
      <c r="D6" s="96" t="s">
        <v>1738</v>
      </c>
      <c r="E6" s="96" t="s">
        <v>1739</v>
      </c>
      <c r="F6" s="96" t="s">
        <v>1740</v>
      </c>
      <c r="G6" s="103" t="s">
        <v>20</v>
      </c>
      <c r="H6" s="96" t="s">
        <v>1741</v>
      </c>
      <c r="I6" s="107" t="str">
        <f>HYPERLINK("#'Storylines'!A24","⇓ детали")</f>
        <v>⇓ детали</v>
      </c>
    </row>
    <row r="7" spans="1:9" ht="36" customHeight="1">
      <c r="A7" s="96">
        <v>2</v>
      </c>
      <c r="B7" s="98" t="s">
        <v>1742</v>
      </c>
      <c r="C7" s="96" t="s">
        <v>1743</v>
      </c>
      <c r="D7" s="96" t="s">
        <v>1744</v>
      </c>
      <c r="E7" s="96" t="s">
        <v>1745</v>
      </c>
      <c r="F7" s="96" t="s">
        <v>1746</v>
      </c>
      <c r="G7" s="103" t="s">
        <v>20</v>
      </c>
      <c r="H7" s="96" t="s">
        <v>1747</v>
      </c>
      <c r="I7" s="107" t="str">
        <f>HYPERLINK("#'Storylines'!A33","⇓ детали")</f>
        <v>⇓ детали</v>
      </c>
    </row>
    <row r="8" spans="1:9" ht="36" customHeight="1">
      <c r="A8" s="96">
        <v>3</v>
      </c>
      <c r="B8" s="98" t="s">
        <v>1742</v>
      </c>
      <c r="C8" s="96" t="s">
        <v>1748</v>
      </c>
      <c r="D8" s="96" t="s">
        <v>1749</v>
      </c>
      <c r="E8" s="96" t="s">
        <v>1750</v>
      </c>
      <c r="F8" s="96" t="s">
        <v>1751</v>
      </c>
      <c r="G8" s="105" t="s">
        <v>84</v>
      </c>
      <c r="H8" s="96" t="s">
        <v>1752</v>
      </c>
      <c r="I8" s="107" t="str">
        <f>HYPERLINK("#'Storylines'!A42","⇓ детали")</f>
        <v>⇓ детали</v>
      </c>
    </row>
    <row r="9" spans="1:9" ht="36" customHeight="1">
      <c r="A9" s="96">
        <v>4</v>
      </c>
      <c r="B9" s="98" t="s">
        <v>1742</v>
      </c>
      <c r="C9" s="96" t="s">
        <v>1753</v>
      </c>
      <c r="D9" s="96" t="s">
        <v>1754</v>
      </c>
      <c r="E9" s="96" t="s">
        <v>1755</v>
      </c>
      <c r="F9" s="96" t="s">
        <v>1756</v>
      </c>
      <c r="G9" s="105" t="s">
        <v>84</v>
      </c>
      <c r="H9" s="96" t="s">
        <v>1757</v>
      </c>
      <c r="I9" s="107" t="str">
        <f>HYPERLINK("#'Storylines'!A50","⇓ детали")</f>
        <v>⇓ детали</v>
      </c>
    </row>
    <row r="10" spans="1:9" ht="36" customHeight="1">
      <c r="A10" s="96">
        <v>5</v>
      </c>
      <c r="B10" s="98" t="s">
        <v>1742</v>
      </c>
      <c r="C10" s="96" t="s">
        <v>1758</v>
      </c>
      <c r="D10" s="96" t="s">
        <v>1759</v>
      </c>
      <c r="E10" s="96" t="s">
        <v>1760</v>
      </c>
      <c r="F10" s="96" t="s">
        <v>1761</v>
      </c>
      <c r="G10" s="105" t="s">
        <v>84</v>
      </c>
      <c r="H10" s="96" t="s">
        <v>1762</v>
      </c>
      <c r="I10" s="107" t="str">
        <f>HYPERLINK("#'Storylines'!A58","⇓ детали")</f>
        <v>⇓ детали</v>
      </c>
    </row>
    <row r="11" spans="1:9" ht="36" customHeight="1">
      <c r="A11" s="96">
        <v>6</v>
      </c>
      <c r="B11" s="99" t="s">
        <v>1763</v>
      </c>
      <c r="C11" s="96" t="s">
        <v>1764</v>
      </c>
      <c r="D11" s="96" t="s">
        <v>1765</v>
      </c>
      <c r="E11" s="96" t="s">
        <v>1766</v>
      </c>
      <c r="F11" s="96" t="s">
        <v>1767</v>
      </c>
      <c r="G11" s="105" t="s">
        <v>84</v>
      </c>
      <c r="H11" s="96" t="s">
        <v>1768</v>
      </c>
      <c r="I11" s="107" t="str">
        <f>HYPERLINK("#'Storylines'!A66","⇓ детали")</f>
        <v>⇓ детали</v>
      </c>
    </row>
    <row r="12" spans="1:9" ht="36" customHeight="1">
      <c r="A12" s="96">
        <v>7</v>
      </c>
      <c r="B12" s="99" t="s">
        <v>1763</v>
      </c>
      <c r="C12" s="96" t="s">
        <v>1769</v>
      </c>
      <c r="D12" s="96" t="s">
        <v>1770</v>
      </c>
      <c r="E12" s="96" t="s">
        <v>1771</v>
      </c>
      <c r="F12" s="96" t="s">
        <v>1772</v>
      </c>
      <c r="G12" s="103" t="s">
        <v>20</v>
      </c>
      <c r="H12" s="96" t="s">
        <v>1773</v>
      </c>
      <c r="I12" s="107" t="str">
        <f>HYPERLINK("#'Storylines'!A74","⇓ детали")</f>
        <v>⇓ детали</v>
      </c>
    </row>
    <row r="13" spans="1:9" ht="36" customHeight="1">
      <c r="A13" s="96">
        <v>8</v>
      </c>
      <c r="B13" s="99" t="s">
        <v>1774</v>
      </c>
      <c r="C13" s="96" t="s">
        <v>1775</v>
      </c>
      <c r="D13" s="96" t="s">
        <v>1776</v>
      </c>
      <c r="E13" s="96" t="s">
        <v>1777</v>
      </c>
      <c r="F13" s="96" t="s">
        <v>1778</v>
      </c>
      <c r="G13" s="103" t="s">
        <v>20</v>
      </c>
      <c r="H13" s="96" t="s">
        <v>1779</v>
      </c>
      <c r="I13" s="107" t="str">
        <f>HYPERLINK("#'Storylines'!A82","⇓ детали")</f>
        <v>⇓ детали</v>
      </c>
    </row>
    <row r="14" spans="1:9" ht="36" customHeight="1">
      <c r="A14" s="96">
        <v>9</v>
      </c>
      <c r="B14" s="99" t="s">
        <v>1780</v>
      </c>
      <c r="C14" s="96" t="s">
        <v>1781</v>
      </c>
      <c r="D14" s="96" t="s">
        <v>1782</v>
      </c>
      <c r="E14" s="96" t="s">
        <v>1783</v>
      </c>
      <c r="F14" s="96" t="s">
        <v>1784</v>
      </c>
      <c r="G14" s="105" t="s">
        <v>84</v>
      </c>
      <c r="H14" s="96" t="s">
        <v>1785</v>
      </c>
      <c r="I14" s="107" t="str">
        <f>HYPERLINK("#'Storylines'!A90","⇓ детали")</f>
        <v>⇓ детали</v>
      </c>
    </row>
    <row r="15" spans="1:9" ht="36" customHeight="1">
      <c r="A15" s="96">
        <v>10</v>
      </c>
      <c r="B15" s="100" t="s">
        <v>1786</v>
      </c>
      <c r="C15" s="96" t="s">
        <v>1787</v>
      </c>
      <c r="D15" s="96" t="s">
        <v>1788</v>
      </c>
      <c r="E15" s="96" t="s">
        <v>1789</v>
      </c>
      <c r="F15" s="96" t="s">
        <v>1790</v>
      </c>
      <c r="G15" s="105" t="s">
        <v>84</v>
      </c>
      <c r="H15" s="96" t="s">
        <v>1791</v>
      </c>
      <c r="I15" s="107" t="str">
        <f>HYPERLINK("#'Storylines'!A98","⇓ детали")</f>
        <v>⇓ детали</v>
      </c>
    </row>
    <row r="16" spans="1:9" ht="36" customHeight="1">
      <c r="A16" s="96">
        <v>11</v>
      </c>
      <c r="B16" s="100" t="s">
        <v>1792</v>
      </c>
      <c r="C16" s="96" t="s">
        <v>1793</v>
      </c>
      <c r="D16" s="96" t="s">
        <v>1794</v>
      </c>
      <c r="E16" s="96" t="s">
        <v>1795</v>
      </c>
      <c r="F16" s="96" t="s">
        <v>1796</v>
      </c>
      <c r="G16" s="103" t="s">
        <v>20</v>
      </c>
      <c r="H16" s="96" t="s">
        <v>1797</v>
      </c>
      <c r="I16" s="107" t="str">
        <f>HYPERLINK("#'Storylines'!A106","⇓ детали")</f>
        <v>⇓ детали</v>
      </c>
    </row>
    <row r="17" spans="1:9" ht="36" customHeight="1">
      <c r="A17" s="96">
        <v>12</v>
      </c>
      <c r="B17" s="101" t="s">
        <v>1798</v>
      </c>
      <c r="C17" s="96" t="s">
        <v>1799</v>
      </c>
      <c r="D17" s="96" t="s">
        <v>1800</v>
      </c>
      <c r="E17" s="96" t="s">
        <v>1801</v>
      </c>
      <c r="F17" s="96" t="s">
        <v>1802</v>
      </c>
      <c r="G17" s="103" t="s">
        <v>20</v>
      </c>
      <c r="H17" s="96" t="s">
        <v>1803</v>
      </c>
      <c r="I17" s="107" t="str">
        <f>HYPERLINK("#'Storylines'!A114","⇓ детали")</f>
        <v>⇓ детали</v>
      </c>
    </row>
    <row r="18" spans="1:9" ht="36" customHeight="1">
      <c r="A18" s="96">
        <v>13</v>
      </c>
      <c r="B18" s="102" t="s">
        <v>1804</v>
      </c>
      <c r="C18" s="96" t="s">
        <v>1805</v>
      </c>
      <c r="D18" s="96" t="s">
        <v>1806</v>
      </c>
      <c r="E18" s="96" t="s">
        <v>1807</v>
      </c>
      <c r="F18" s="96" t="s">
        <v>1808</v>
      </c>
      <c r="G18" s="105" t="s">
        <v>84</v>
      </c>
      <c r="H18" s="96" t="s">
        <v>1809</v>
      </c>
      <c r="I18" s="107" t="str">
        <f>HYPERLINK("#'Storylines'!A122","⇓ детали")</f>
        <v>⇓ детали</v>
      </c>
    </row>
    <row r="19" spans="1:9" ht="36" customHeight="1">
      <c r="A19" s="114">
        <v>14</v>
      </c>
      <c r="B19" s="125" t="s">
        <v>1810</v>
      </c>
      <c r="C19" s="114" t="s">
        <v>1811</v>
      </c>
      <c r="D19" s="114" t="s">
        <v>1812</v>
      </c>
      <c r="E19" s="114" t="s">
        <v>1813</v>
      </c>
      <c r="F19" s="114" t="s">
        <v>1814</v>
      </c>
      <c r="G19" s="124" t="s">
        <v>84</v>
      </c>
      <c r="H19" s="114" t="s">
        <v>1815</v>
      </c>
      <c r="I19" s="126" t="str">
        <f>HYPERLINK("#'Storylines'!A130","⇓ детали")</f>
        <v>⇓ детали</v>
      </c>
    </row>
    <row r="20" spans="1:9" ht="36" customHeight="1">
      <c r="A20" s="96">
        <v>15</v>
      </c>
      <c r="B20" s="127" t="s">
        <v>2410</v>
      </c>
      <c r="C20" s="96" t="s">
        <v>2411</v>
      </c>
      <c r="D20" s="96" t="s">
        <v>2412</v>
      </c>
      <c r="E20" s="96" t="s">
        <v>2413</v>
      </c>
      <c r="F20" s="96" t="s">
        <v>2414</v>
      </c>
      <c r="G20" s="105" t="s">
        <v>84</v>
      </c>
      <c r="H20" s="96" t="s">
        <v>2415</v>
      </c>
      <c r="I20" s="128" t="str">
        <f>HYPERLINK("#'Storylines'!A138","⇓ детали")</f>
        <v>⇓ детали</v>
      </c>
    </row>
    <row r="21" spans="1:9" ht="15.75">
      <c r="A21" s="305" t="s">
        <v>1816</v>
      </c>
      <c r="B21" s="305"/>
      <c r="C21" s="305"/>
      <c r="D21" s="305"/>
      <c r="E21" s="305"/>
      <c r="F21" s="305"/>
      <c r="G21" s="305"/>
    </row>
    <row r="22" spans="1:9">
      <c r="A22" s="94" t="s">
        <v>1817</v>
      </c>
      <c r="B22" s="94" t="s">
        <v>1818</v>
      </c>
      <c r="C22" s="94" t="s">
        <v>1</v>
      </c>
      <c r="D22" s="94" t="s">
        <v>1819</v>
      </c>
      <c r="E22" s="94" t="s">
        <v>1820</v>
      </c>
      <c r="F22" s="94" t="s">
        <v>9</v>
      </c>
      <c r="G22" s="94" t="s">
        <v>1821</v>
      </c>
    </row>
    <row r="23" spans="1:9">
      <c r="A23" s="96"/>
      <c r="B23" s="96"/>
      <c r="C23" s="96"/>
      <c r="D23" s="96"/>
      <c r="E23" s="96"/>
      <c r="F23" s="96"/>
      <c r="G23" s="108"/>
    </row>
    <row r="24" spans="1:9" ht="21.95" customHeight="1">
      <c r="A24" s="300" t="s">
        <v>1822</v>
      </c>
      <c r="B24" s="301"/>
      <c r="C24" s="301"/>
      <c r="D24" s="301"/>
      <c r="E24" s="301"/>
      <c r="F24" s="301"/>
      <c r="G24" s="302"/>
    </row>
    <row r="25" spans="1:9" ht="51">
      <c r="A25" s="96">
        <v>1.1000000000000001</v>
      </c>
      <c r="B25" s="96" t="s">
        <v>1823</v>
      </c>
      <c r="C25" s="96">
        <v>4625</v>
      </c>
      <c r="D25" s="96" t="s">
        <v>1824</v>
      </c>
      <c r="E25" s="96" t="s">
        <v>1825</v>
      </c>
      <c r="F25" s="96" t="s">
        <v>1826</v>
      </c>
      <c r="G25" s="108" t="s">
        <v>1827</v>
      </c>
    </row>
    <row r="26" spans="1:9" ht="38.25">
      <c r="A26" s="96">
        <v>1.2</v>
      </c>
      <c r="B26" s="96" t="s">
        <v>1828</v>
      </c>
      <c r="C26" s="96">
        <v>4740</v>
      </c>
      <c r="D26" s="96" t="s">
        <v>1829</v>
      </c>
      <c r="E26" s="96" t="s">
        <v>1830</v>
      </c>
      <c r="F26" s="96" t="s">
        <v>1831</v>
      </c>
      <c r="G26" s="108" t="s">
        <v>1832</v>
      </c>
    </row>
    <row r="27" spans="1:9" ht="25.5">
      <c r="A27" s="96">
        <v>1.3</v>
      </c>
      <c r="B27" s="96" t="s">
        <v>267</v>
      </c>
      <c r="C27" s="96">
        <v>4767</v>
      </c>
      <c r="D27" s="96" t="s">
        <v>1833</v>
      </c>
      <c r="E27" s="96" t="s">
        <v>1834</v>
      </c>
      <c r="F27" s="96" t="s">
        <v>822</v>
      </c>
      <c r="G27" s="108" t="s">
        <v>1835</v>
      </c>
    </row>
    <row r="28" spans="1:9" ht="38.25">
      <c r="A28" s="96">
        <v>1.4</v>
      </c>
      <c r="B28" s="96" t="s">
        <v>1836</v>
      </c>
      <c r="C28" s="96">
        <v>4624</v>
      </c>
      <c r="D28" s="96" t="s">
        <v>1837</v>
      </c>
      <c r="E28" s="96" t="s">
        <v>1838</v>
      </c>
      <c r="F28" s="96" t="s">
        <v>823</v>
      </c>
      <c r="G28" s="108" t="s">
        <v>1839</v>
      </c>
    </row>
    <row r="29" spans="1:9" ht="36">
      <c r="A29" s="96" t="s">
        <v>1840</v>
      </c>
      <c r="B29" s="96" t="s">
        <v>1841</v>
      </c>
      <c r="C29" s="96" t="s">
        <v>1842</v>
      </c>
      <c r="D29" s="96" t="s">
        <v>1843</v>
      </c>
      <c r="E29" s="96" t="s">
        <v>1844</v>
      </c>
      <c r="F29" s="96" t="s">
        <v>1845</v>
      </c>
      <c r="G29" s="108" t="s">
        <v>1846</v>
      </c>
    </row>
    <row r="30" spans="1:9">
      <c r="A30" s="96"/>
      <c r="B30" s="96"/>
      <c r="C30" s="96"/>
      <c r="D30" s="96"/>
      <c r="E30" s="96"/>
      <c r="F30" s="96"/>
      <c r="G30" s="108"/>
    </row>
    <row r="31" spans="1:9">
      <c r="A31" s="96"/>
      <c r="B31" s="96"/>
      <c r="C31" s="96"/>
      <c r="D31" s="96"/>
      <c r="E31" s="96"/>
      <c r="F31" s="96"/>
      <c r="G31" s="108"/>
    </row>
    <row r="32" spans="1:9">
      <c r="A32" s="96"/>
      <c r="B32" s="96"/>
      <c r="C32" s="96"/>
      <c r="D32" s="96"/>
      <c r="E32" s="96"/>
      <c r="F32" s="96"/>
      <c r="G32" s="108"/>
    </row>
    <row r="33" spans="1:7" ht="21.95" customHeight="1">
      <c r="A33" s="300" t="s">
        <v>1847</v>
      </c>
      <c r="B33" s="301"/>
      <c r="C33" s="301"/>
      <c r="D33" s="301"/>
      <c r="E33" s="301"/>
      <c r="F33" s="301"/>
      <c r="G33" s="302"/>
    </row>
    <row r="34" spans="1:7" ht="38.25">
      <c r="A34" s="96">
        <v>2.1</v>
      </c>
      <c r="B34" s="96" t="s">
        <v>1848</v>
      </c>
      <c r="C34" s="96">
        <v>4625</v>
      </c>
      <c r="D34" s="96" t="s">
        <v>1849</v>
      </c>
      <c r="E34" s="96" t="s">
        <v>1850</v>
      </c>
      <c r="F34" s="96" t="s">
        <v>1851</v>
      </c>
      <c r="G34" s="108" t="s">
        <v>1852</v>
      </c>
    </row>
    <row r="35" spans="1:7" ht="25.5">
      <c r="A35" s="96">
        <v>2.2000000000000002</v>
      </c>
      <c r="B35" s="96" t="s">
        <v>1853</v>
      </c>
      <c r="C35" s="96">
        <v>4768</v>
      </c>
      <c r="D35" s="96" t="s">
        <v>1854</v>
      </c>
      <c r="E35" s="96" t="s">
        <v>1855</v>
      </c>
      <c r="F35" s="96" t="s">
        <v>1851</v>
      </c>
      <c r="G35" s="108" t="s">
        <v>1856</v>
      </c>
    </row>
    <row r="36" spans="1:7">
      <c r="A36" s="96">
        <v>2.2999999999999998</v>
      </c>
      <c r="B36" s="96" t="s">
        <v>1836</v>
      </c>
      <c r="C36" s="96">
        <v>4624</v>
      </c>
      <c r="D36" s="96" t="s">
        <v>1857</v>
      </c>
      <c r="E36" s="96" t="s">
        <v>1858</v>
      </c>
      <c r="F36" s="96" t="s">
        <v>823</v>
      </c>
      <c r="G36" s="108" t="s">
        <v>1859</v>
      </c>
    </row>
    <row r="37" spans="1:7" ht="24">
      <c r="A37" s="96" t="s">
        <v>1840</v>
      </c>
      <c r="B37" s="96" t="s">
        <v>1841</v>
      </c>
      <c r="C37" s="96" t="s">
        <v>1842</v>
      </c>
      <c r="D37" s="96" t="s">
        <v>1860</v>
      </c>
      <c r="E37" s="96" t="s">
        <v>1861</v>
      </c>
      <c r="F37" s="96" t="s">
        <v>1845</v>
      </c>
      <c r="G37" s="108" t="s">
        <v>1862</v>
      </c>
    </row>
    <row r="38" spans="1:7">
      <c r="A38" s="96"/>
      <c r="B38" s="96"/>
      <c r="C38" s="96"/>
      <c r="D38" s="96"/>
      <c r="E38" s="96"/>
      <c r="F38" s="96"/>
      <c r="G38" s="108"/>
    </row>
    <row r="39" spans="1:7">
      <c r="A39" s="96"/>
      <c r="B39" s="96"/>
      <c r="C39" s="96"/>
      <c r="D39" s="96"/>
      <c r="E39" s="96"/>
      <c r="F39" s="96"/>
      <c r="G39" s="108"/>
    </row>
    <row r="40" spans="1:7">
      <c r="A40" s="96"/>
      <c r="B40" s="96"/>
      <c r="C40" s="96"/>
      <c r="D40" s="96"/>
      <c r="E40" s="96"/>
      <c r="F40" s="96"/>
      <c r="G40" s="108"/>
    </row>
    <row r="41" spans="1:7">
      <c r="A41" s="96"/>
      <c r="B41" s="96"/>
      <c r="C41" s="96"/>
      <c r="D41" s="96"/>
      <c r="E41" s="96"/>
      <c r="F41" s="96"/>
      <c r="G41" s="108"/>
    </row>
    <row r="42" spans="1:7" ht="21.95" customHeight="1">
      <c r="A42" s="300" t="s">
        <v>1863</v>
      </c>
      <c r="B42" s="301"/>
      <c r="C42" s="301"/>
      <c r="D42" s="301"/>
      <c r="E42" s="301"/>
      <c r="F42" s="301"/>
      <c r="G42" s="302"/>
    </row>
    <row r="43" spans="1:7" ht="25.5">
      <c r="A43" s="96">
        <v>3.1</v>
      </c>
      <c r="B43" s="96" t="s">
        <v>1864</v>
      </c>
      <c r="C43" s="96">
        <v>4624</v>
      </c>
      <c r="D43" s="96" t="s">
        <v>1865</v>
      </c>
      <c r="E43" s="96" t="s">
        <v>1866</v>
      </c>
      <c r="F43" s="96" t="s">
        <v>823</v>
      </c>
      <c r="G43" s="108" t="s">
        <v>1867</v>
      </c>
    </row>
    <row r="44" spans="1:7" ht="25.5">
      <c r="A44" s="96">
        <v>3.2</v>
      </c>
      <c r="B44" s="96" t="s">
        <v>1868</v>
      </c>
      <c r="C44" s="96">
        <v>4768</v>
      </c>
      <c r="D44" s="96" t="s">
        <v>1869</v>
      </c>
      <c r="E44" s="96" t="s">
        <v>1870</v>
      </c>
      <c r="F44" s="96" t="s">
        <v>1871</v>
      </c>
      <c r="G44" s="108" t="s">
        <v>1872</v>
      </c>
    </row>
    <row r="45" spans="1:7" ht="38.25">
      <c r="A45" s="96">
        <v>3.3</v>
      </c>
      <c r="B45" s="96" t="s">
        <v>1873</v>
      </c>
      <c r="C45" s="96">
        <v>4769</v>
      </c>
      <c r="D45" s="96" t="s">
        <v>1874</v>
      </c>
      <c r="E45" s="96" t="s">
        <v>1875</v>
      </c>
      <c r="F45" s="96" t="s">
        <v>821</v>
      </c>
      <c r="G45" s="108" t="s">
        <v>1876</v>
      </c>
    </row>
    <row r="46" spans="1:7" ht="38.25">
      <c r="A46" s="96">
        <v>3.4</v>
      </c>
      <c r="B46" s="96" t="s">
        <v>1877</v>
      </c>
      <c r="C46" s="96">
        <v>4688</v>
      </c>
      <c r="D46" s="96" t="s">
        <v>1878</v>
      </c>
      <c r="E46" s="96" t="s">
        <v>1879</v>
      </c>
      <c r="F46" s="96" t="s">
        <v>1880</v>
      </c>
      <c r="G46" s="108" t="s">
        <v>1881</v>
      </c>
    </row>
    <row r="47" spans="1:7" ht="24">
      <c r="A47" s="96" t="s">
        <v>1840</v>
      </c>
      <c r="B47" s="96" t="s">
        <v>1841</v>
      </c>
      <c r="C47" s="96" t="s">
        <v>1882</v>
      </c>
      <c r="D47" s="96" t="s">
        <v>1883</v>
      </c>
      <c r="E47" s="96" t="s">
        <v>1884</v>
      </c>
      <c r="F47" s="96" t="s">
        <v>1845</v>
      </c>
      <c r="G47" s="108" t="s">
        <v>1885</v>
      </c>
    </row>
    <row r="48" spans="1:7">
      <c r="A48" s="96"/>
      <c r="B48" s="96"/>
      <c r="C48" s="96"/>
      <c r="D48" s="96"/>
      <c r="E48" s="96"/>
      <c r="F48" s="96"/>
      <c r="G48" s="108"/>
    </row>
    <row r="49" spans="1:7">
      <c r="A49" s="96"/>
      <c r="B49" s="96"/>
      <c r="C49" s="96"/>
      <c r="D49" s="96"/>
      <c r="E49" s="96"/>
      <c r="F49" s="96"/>
      <c r="G49" s="108"/>
    </row>
    <row r="50" spans="1:7" ht="21.95" customHeight="1">
      <c r="A50" s="300" t="s">
        <v>1886</v>
      </c>
      <c r="B50" s="301"/>
      <c r="C50" s="301"/>
      <c r="D50" s="301"/>
      <c r="E50" s="301"/>
      <c r="F50" s="301"/>
      <c r="G50" s="302"/>
    </row>
    <row r="51" spans="1:7" ht="38.25">
      <c r="A51" s="96">
        <v>4.0999999999999996</v>
      </c>
      <c r="B51" s="96" t="s">
        <v>1887</v>
      </c>
      <c r="C51" s="96">
        <v>4768</v>
      </c>
      <c r="D51" s="96" t="s">
        <v>1888</v>
      </c>
      <c r="E51" s="96" t="s">
        <v>1889</v>
      </c>
      <c r="F51" s="96" t="s">
        <v>1890</v>
      </c>
      <c r="G51" s="108" t="s">
        <v>1891</v>
      </c>
    </row>
    <row r="52" spans="1:7" ht="25.5">
      <c r="A52" s="96">
        <v>4.2</v>
      </c>
      <c r="B52" s="96" t="s">
        <v>1892</v>
      </c>
      <c r="C52" s="96">
        <v>4688</v>
      </c>
      <c r="D52" s="96" t="s">
        <v>1893</v>
      </c>
      <c r="E52" s="96" t="s">
        <v>1894</v>
      </c>
      <c r="F52" s="96" t="s">
        <v>805</v>
      </c>
      <c r="G52" s="108" t="s">
        <v>1895</v>
      </c>
    </row>
    <row r="53" spans="1:7" ht="25.5">
      <c r="A53" s="96">
        <v>4.3</v>
      </c>
      <c r="B53" s="96" t="s">
        <v>1896</v>
      </c>
      <c r="C53" s="96">
        <v>4624</v>
      </c>
      <c r="D53" s="96" t="s">
        <v>1897</v>
      </c>
      <c r="E53" s="96" t="s">
        <v>1898</v>
      </c>
      <c r="F53" s="96" t="s">
        <v>823</v>
      </c>
      <c r="G53" s="108" t="s">
        <v>1899</v>
      </c>
    </row>
    <row r="54" spans="1:7" ht="25.5">
      <c r="A54" s="96" t="s">
        <v>1840</v>
      </c>
      <c r="B54" s="96" t="s">
        <v>1841</v>
      </c>
      <c r="C54" s="96">
        <v>4768</v>
      </c>
      <c r="D54" s="96" t="s">
        <v>1900</v>
      </c>
      <c r="E54" s="96" t="s">
        <v>1901</v>
      </c>
      <c r="F54" s="96" t="s">
        <v>1845</v>
      </c>
      <c r="G54" s="108" t="s">
        <v>1902</v>
      </c>
    </row>
    <row r="55" spans="1:7">
      <c r="A55" s="96"/>
      <c r="B55" s="96"/>
      <c r="C55" s="96"/>
      <c r="D55" s="96"/>
      <c r="E55" s="96"/>
      <c r="F55" s="96"/>
      <c r="G55" s="108"/>
    </row>
    <row r="56" spans="1:7">
      <c r="A56" s="96"/>
      <c r="B56" s="96"/>
      <c r="C56" s="96"/>
      <c r="D56" s="96"/>
      <c r="E56" s="96"/>
      <c r="F56" s="96"/>
      <c r="G56" s="108"/>
    </row>
    <row r="57" spans="1:7">
      <c r="A57" s="96"/>
      <c r="B57" s="96"/>
      <c r="C57" s="96"/>
      <c r="D57" s="96"/>
      <c r="E57" s="96"/>
      <c r="F57" s="96"/>
      <c r="G57" s="108"/>
    </row>
    <row r="58" spans="1:7" ht="21.95" customHeight="1">
      <c r="A58" s="300" t="s">
        <v>1903</v>
      </c>
      <c r="B58" s="301"/>
      <c r="C58" s="301"/>
      <c r="D58" s="301"/>
      <c r="E58" s="301"/>
      <c r="F58" s="301"/>
      <c r="G58" s="302"/>
    </row>
    <row r="59" spans="1:7" ht="25.5">
      <c r="A59" s="96">
        <v>5.0999999999999996</v>
      </c>
      <c r="B59" s="96" t="s">
        <v>1904</v>
      </c>
      <c r="C59" s="96">
        <v>4624</v>
      </c>
      <c r="D59" s="96" t="s">
        <v>1905</v>
      </c>
      <c r="E59" s="96" t="s">
        <v>1906</v>
      </c>
      <c r="F59" s="96" t="s">
        <v>1907</v>
      </c>
      <c r="G59" s="108" t="s">
        <v>1908</v>
      </c>
    </row>
    <row r="60" spans="1:7" ht="51">
      <c r="A60" s="96">
        <v>5.2</v>
      </c>
      <c r="B60" s="96" t="s">
        <v>1909</v>
      </c>
      <c r="C60" s="96">
        <v>4662</v>
      </c>
      <c r="D60" s="96" t="s">
        <v>1910</v>
      </c>
      <c r="E60" s="96" t="s">
        <v>1911</v>
      </c>
      <c r="F60" s="96" t="s">
        <v>1912</v>
      </c>
      <c r="G60" s="108" t="s">
        <v>1913</v>
      </c>
    </row>
    <row r="61" spans="1:7" ht="25.5">
      <c r="A61" s="96">
        <v>5.3</v>
      </c>
      <c r="B61" s="96" t="s">
        <v>1892</v>
      </c>
      <c r="C61" s="96">
        <v>4688</v>
      </c>
      <c r="D61" s="96" t="s">
        <v>1914</v>
      </c>
      <c r="E61" s="96" t="s">
        <v>1915</v>
      </c>
      <c r="F61" s="96" t="s">
        <v>1912</v>
      </c>
      <c r="G61" s="108" t="s">
        <v>1916</v>
      </c>
    </row>
    <row r="62" spans="1:7" ht="25.5">
      <c r="A62" s="96" t="s">
        <v>1840</v>
      </c>
      <c r="B62" s="96" t="s">
        <v>1841</v>
      </c>
      <c r="C62" s="96">
        <v>4662</v>
      </c>
      <c r="D62" s="96" t="s">
        <v>1917</v>
      </c>
      <c r="E62" s="96" t="s">
        <v>1918</v>
      </c>
      <c r="F62" s="96" t="s">
        <v>1845</v>
      </c>
      <c r="G62" s="108" t="s">
        <v>1919</v>
      </c>
    </row>
    <row r="63" spans="1:7">
      <c r="A63" s="96"/>
      <c r="B63" s="96"/>
      <c r="C63" s="96"/>
      <c r="D63" s="96"/>
      <c r="E63" s="96"/>
      <c r="F63" s="96"/>
      <c r="G63" s="108"/>
    </row>
    <row r="64" spans="1:7">
      <c r="A64" s="96"/>
      <c r="B64" s="96"/>
      <c r="C64" s="96"/>
      <c r="D64" s="96"/>
      <c r="E64" s="96"/>
      <c r="F64" s="96"/>
      <c r="G64" s="108"/>
    </row>
    <row r="65" spans="1:7">
      <c r="A65" s="96"/>
      <c r="B65" s="96"/>
      <c r="C65" s="96"/>
      <c r="D65" s="96"/>
      <c r="E65" s="96"/>
      <c r="F65" s="96"/>
      <c r="G65" s="108"/>
    </row>
    <row r="66" spans="1:7" ht="21.95" customHeight="1">
      <c r="A66" s="300" t="s">
        <v>1920</v>
      </c>
      <c r="B66" s="301"/>
      <c r="C66" s="301"/>
      <c r="D66" s="301"/>
      <c r="E66" s="301"/>
      <c r="F66" s="301"/>
      <c r="G66" s="302"/>
    </row>
    <row r="67" spans="1:7" ht="38.25">
      <c r="A67" s="96">
        <v>6.1</v>
      </c>
      <c r="B67" s="96" t="s">
        <v>1921</v>
      </c>
      <c r="C67" s="96">
        <v>5140</v>
      </c>
      <c r="D67" s="96" t="s">
        <v>1922</v>
      </c>
      <c r="E67" s="96" t="s">
        <v>1923</v>
      </c>
      <c r="F67" s="96" t="s">
        <v>1924</v>
      </c>
      <c r="G67" s="108" t="s">
        <v>1925</v>
      </c>
    </row>
    <row r="68" spans="1:7" ht="38.25">
      <c r="A68" s="96">
        <v>6.2</v>
      </c>
      <c r="B68" s="96" t="s">
        <v>1926</v>
      </c>
      <c r="C68" s="96">
        <v>4624</v>
      </c>
      <c r="D68" s="96" t="s">
        <v>1927</v>
      </c>
      <c r="E68" s="96" t="s">
        <v>1928</v>
      </c>
      <c r="F68" s="96" t="s">
        <v>823</v>
      </c>
      <c r="G68" s="108" t="s">
        <v>1867</v>
      </c>
    </row>
    <row r="69" spans="1:7" ht="25.5">
      <c r="A69" s="96">
        <v>6.3</v>
      </c>
      <c r="B69" s="96" t="s">
        <v>1929</v>
      </c>
      <c r="C69" s="96">
        <v>4672</v>
      </c>
      <c r="D69" s="96" t="s">
        <v>1930</v>
      </c>
      <c r="E69" s="96" t="s">
        <v>1931</v>
      </c>
      <c r="F69" s="96" t="s">
        <v>1907</v>
      </c>
      <c r="G69" s="108" t="s">
        <v>1932</v>
      </c>
    </row>
    <row r="70" spans="1:7" ht="51">
      <c r="A70" s="96">
        <v>6.4</v>
      </c>
      <c r="B70" s="96" t="s">
        <v>1933</v>
      </c>
      <c r="C70" s="96" t="s">
        <v>1934</v>
      </c>
      <c r="D70" s="96" t="s">
        <v>1935</v>
      </c>
      <c r="E70" s="96" t="s">
        <v>1936</v>
      </c>
      <c r="F70" s="96" t="s">
        <v>1937</v>
      </c>
      <c r="G70" s="108" t="s">
        <v>1938</v>
      </c>
    </row>
    <row r="71" spans="1:7" ht="25.5">
      <c r="A71" s="96">
        <v>6.5</v>
      </c>
      <c r="B71" s="96" t="s">
        <v>1892</v>
      </c>
      <c r="C71" s="96">
        <v>4688</v>
      </c>
      <c r="D71" s="96" t="s">
        <v>1939</v>
      </c>
      <c r="E71" s="96" t="s">
        <v>1940</v>
      </c>
      <c r="F71" s="96" t="s">
        <v>1941</v>
      </c>
      <c r="G71" s="108" t="s">
        <v>1942</v>
      </c>
    </row>
    <row r="72" spans="1:7" ht="25.5">
      <c r="A72" s="96" t="s">
        <v>1840</v>
      </c>
      <c r="B72" s="96" t="s">
        <v>1841</v>
      </c>
      <c r="C72" s="96" t="s">
        <v>1943</v>
      </c>
      <c r="D72" s="96" t="s">
        <v>1944</v>
      </c>
      <c r="E72" s="96" t="s">
        <v>1945</v>
      </c>
      <c r="F72" s="96" t="s">
        <v>1946</v>
      </c>
      <c r="G72" s="108" t="s">
        <v>1947</v>
      </c>
    </row>
    <row r="73" spans="1:7">
      <c r="A73" s="96"/>
      <c r="B73" s="96"/>
      <c r="C73" s="96"/>
      <c r="D73" s="96"/>
      <c r="E73" s="96"/>
      <c r="F73" s="96"/>
      <c r="G73" s="108"/>
    </row>
    <row r="74" spans="1:7" ht="21.95" customHeight="1">
      <c r="A74" s="300" t="s">
        <v>1948</v>
      </c>
      <c r="B74" s="301"/>
      <c r="C74" s="301"/>
      <c r="D74" s="301"/>
      <c r="E74" s="301"/>
      <c r="F74" s="301"/>
      <c r="G74" s="302"/>
    </row>
    <row r="75" spans="1:7" ht="25.5">
      <c r="A75" s="96">
        <v>7.1</v>
      </c>
      <c r="B75" s="96" t="s">
        <v>1926</v>
      </c>
      <c r="C75" s="96">
        <v>4624</v>
      </c>
      <c r="D75" s="96" t="s">
        <v>1949</v>
      </c>
      <c r="E75" s="96" t="s">
        <v>1950</v>
      </c>
      <c r="F75" s="96" t="s">
        <v>1951</v>
      </c>
      <c r="G75" s="108" t="s">
        <v>1867</v>
      </c>
    </row>
    <row r="76" spans="1:7">
      <c r="A76" s="96">
        <v>7.2</v>
      </c>
      <c r="B76" s="96" t="s">
        <v>1929</v>
      </c>
      <c r="C76" s="96">
        <v>4672</v>
      </c>
      <c r="D76" s="96" t="s">
        <v>1952</v>
      </c>
      <c r="E76" s="96" t="s">
        <v>1953</v>
      </c>
      <c r="F76" s="96" t="s">
        <v>823</v>
      </c>
      <c r="G76" s="108" t="s">
        <v>1954</v>
      </c>
    </row>
    <row r="77" spans="1:7" ht="38.25">
      <c r="A77" s="96">
        <v>7.3</v>
      </c>
      <c r="B77" s="96" t="s">
        <v>1955</v>
      </c>
      <c r="C77" s="96">
        <v>4688</v>
      </c>
      <c r="D77" s="96" t="s">
        <v>1956</v>
      </c>
      <c r="E77" s="96" t="s">
        <v>1957</v>
      </c>
      <c r="F77" s="96" t="s">
        <v>1958</v>
      </c>
      <c r="G77" s="108" t="s">
        <v>1959</v>
      </c>
    </row>
    <row r="78" spans="1:7" ht="38.25">
      <c r="A78" s="96">
        <v>7.4</v>
      </c>
      <c r="B78" s="96" t="s">
        <v>1960</v>
      </c>
      <c r="C78" s="96">
        <v>4688</v>
      </c>
      <c r="D78" s="96" t="s">
        <v>1961</v>
      </c>
      <c r="E78" s="96" t="s">
        <v>1962</v>
      </c>
      <c r="F78" s="96" t="s">
        <v>1958</v>
      </c>
      <c r="G78" s="108" t="s">
        <v>1963</v>
      </c>
    </row>
    <row r="79" spans="1:7" ht="25.5">
      <c r="A79" s="96" t="s">
        <v>1840</v>
      </c>
      <c r="B79" s="96" t="s">
        <v>1841</v>
      </c>
      <c r="C79" s="96">
        <v>4688</v>
      </c>
      <c r="D79" s="96" t="s">
        <v>1964</v>
      </c>
      <c r="E79" s="96" t="s">
        <v>1965</v>
      </c>
      <c r="F79" s="96" t="s">
        <v>1946</v>
      </c>
      <c r="G79" s="108" t="s">
        <v>1966</v>
      </c>
    </row>
    <row r="80" spans="1:7">
      <c r="A80" s="96"/>
      <c r="B80" s="96"/>
      <c r="C80" s="96"/>
      <c r="D80" s="96"/>
      <c r="E80" s="96"/>
      <c r="F80" s="96"/>
      <c r="G80" s="108"/>
    </row>
    <row r="81" spans="1:7">
      <c r="A81" s="96"/>
      <c r="B81" s="96"/>
      <c r="C81" s="96"/>
      <c r="D81" s="96"/>
      <c r="E81" s="96"/>
      <c r="F81" s="96"/>
      <c r="G81" s="108"/>
    </row>
    <row r="82" spans="1:7" ht="21.95" customHeight="1">
      <c r="A82" s="300" t="s">
        <v>1967</v>
      </c>
      <c r="B82" s="301"/>
      <c r="C82" s="301"/>
      <c r="D82" s="301"/>
      <c r="E82" s="301"/>
      <c r="F82" s="301"/>
      <c r="G82" s="302"/>
    </row>
    <row r="83" spans="1:7" ht="25.5">
      <c r="A83" s="96">
        <v>8.1</v>
      </c>
      <c r="B83" s="96" t="s">
        <v>1968</v>
      </c>
      <c r="C83" s="96">
        <v>4624</v>
      </c>
      <c r="D83" s="96" t="s">
        <v>1969</v>
      </c>
      <c r="E83" s="96" t="s">
        <v>1970</v>
      </c>
      <c r="F83" s="96" t="s">
        <v>806</v>
      </c>
      <c r="G83" s="108" t="s">
        <v>1971</v>
      </c>
    </row>
    <row r="84" spans="1:7" ht="38.25">
      <c r="A84" s="96">
        <v>8.1999999999999993</v>
      </c>
      <c r="B84" s="96" t="s">
        <v>1972</v>
      </c>
      <c r="C84" s="96">
        <v>1149</v>
      </c>
      <c r="D84" s="96" t="s">
        <v>1973</v>
      </c>
      <c r="E84" s="96" t="s">
        <v>1974</v>
      </c>
      <c r="F84" s="96" t="s">
        <v>806</v>
      </c>
      <c r="G84" s="108" t="s">
        <v>1975</v>
      </c>
    </row>
    <row r="85" spans="1:7" ht="25.5">
      <c r="A85" s="96">
        <v>8.3000000000000007</v>
      </c>
      <c r="B85" s="96" t="s">
        <v>1976</v>
      </c>
      <c r="C85" s="96">
        <v>4778</v>
      </c>
      <c r="D85" s="96" t="s">
        <v>1977</v>
      </c>
      <c r="E85" s="96" t="s">
        <v>1978</v>
      </c>
      <c r="F85" s="96" t="s">
        <v>1979</v>
      </c>
      <c r="G85" s="108" t="s">
        <v>1980</v>
      </c>
    </row>
    <row r="86" spans="1:7" ht="38.25">
      <c r="A86" s="96">
        <v>8.4</v>
      </c>
      <c r="B86" s="96" t="s">
        <v>1981</v>
      </c>
      <c r="C86" s="96">
        <v>4688</v>
      </c>
      <c r="D86" s="96" t="s">
        <v>1982</v>
      </c>
      <c r="E86" s="96" t="s">
        <v>1983</v>
      </c>
      <c r="F86" s="96" t="s">
        <v>806</v>
      </c>
      <c r="G86" s="108" t="s">
        <v>1984</v>
      </c>
    </row>
    <row r="87" spans="1:7" ht="25.5">
      <c r="A87" s="96" t="s">
        <v>1840</v>
      </c>
      <c r="B87" s="96" t="s">
        <v>1841</v>
      </c>
      <c r="C87" s="96" t="s">
        <v>1985</v>
      </c>
      <c r="D87" s="96" t="s">
        <v>1986</v>
      </c>
      <c r="E87" s="96" t="s">
        <v>1987</v>
      </c>
      <c r="F87" s="96" t="s">
        <v>1988</v>
      </c>
      <c r="G87" s="108" t="s">
        <v>1989</v>
      </c>
    </row>
    <row r="88" spans="1:7">
      <c r="A88" s="96"/>
      <c r="B88" s="96"/>
      <c r="C88" s="96"/>
      <c r="D88" s="96"/>
      <c r="E88" s="96"/>
      <c r="F88" s="96"/>
      <c r="G88" s="108"/>
    </row>
    <row r="89" spans="1:7">
      <c r="A89" s="96"/>
      <c r="B89" s="96"/>
      <c r="C89" s="96"/>
      <c r="D89" s="96"/>
      <c r="E89" s="96"/>
      <c r="F89" s="96"/>
      <c r="G89" s="108"/>
    </row>
    <row r="90" spans="1:7" ht="21.95" customHeight="1">
      <c r="A90" s="300" t="s">
        <v>1990</v>
      </c>
      <c r="B90" s="301"/>
      <c r="C90" s="301"/>
      <c r="D90" s="301"/>
      <c r="E90" s="301"/>
      <c r="F90" s="301"/>
      <c r="G90" s="302"/>
    </row>
    <row r="91" spans="1:7" ht="38.25">
      <c r="A91" s="96">
        <v>9.1</v>
      </c>
      <c r="B91" s="96" t="s">
        <v>1991</v>
      </c>
      <c r="C91" s="96">
        <v>4776</v>
      </c>
      <c r="D91" s="96" t="s">
        <v>1992</v>
      </c>
      <c r="E91" s="96" t="s">
        <v>1993</v>
      </c>
      <c r="F91" s="96" t="s">
        <v>811</v>
      </c>
      <c r="G91" s="108" t="s">
        <v>1994</v>
      </c>
    </row>
    <row r="92" spans="1:7" ht="63.75">
      <c r="A92" s="96">
        <v>9.1999999999999993</v>
      </c>
      <c r="B92" s="96" t="s">
        <v>1995</v>
      </c>
      <c r="C92" s="96">
        <v>4624</v>
      </c>
      <c r="D92" s="96" t="s">
        <v>1996</v>
      </c>
      <c r="E92" s="96" t="s">
        <v>1997</v>
      </c>
      <c r="F92" s="96" t="s">
        <v>811</v>
      </c>
      <c r="G92" s="108" t="s">
        <v>1998</v>
      </c>
    </row>
    <row r="93" spans="1:7">
      <c r="A93" s="96">
        <v>9.3000000000000007</v>
      </c>
      <c r="B93" s="96" t="s">
        <v>1929</v>
      </c>
      <c r="C93" s="96">
        <v>4672</v>
      </c>
      <c r="D93" s="96" t="s">
        <v>1999</v>
      </c>
      <c r="E93" s="96" t="s">
        <v>2000</v>
      </c>
      <c r="F93" s="96" t="s">
        <v>1907</v>
      </c>
      <c r="G93" s="108" t="s">
        <v>1954</v>
      </c>
    </row>
    <row r="94" spans="1:7" ht="25.5">
      <c r="A94" s="96" t="s">
        <v>1840</v>
      </c>
      <c r="B94" s="96" t="s">
        <v>1841</v>
      </c>
      <c r="C94" s="96" t="s">
        <v>2001</v>
      </c>
      <c r="D94" s="96" t="s">
        <v>2002</v>
      </c>
      <c r="E94" s="96" t="s">
        <v>2003</v>
      </c>
      <c r="F94" s="96" t="s">
        <v>1988</v>
      </c>
      <c r="G94" s="108" t="s">
        <v>2004</v>
      </c>
    </row>
    <row r="95" spans="1:7">
      <c r="A95" s="96"/>
      <c r="B95" s="96"/>
      <c r="C95" s="96"/>
      <c r="D95" s="96"/>
      <c r="E95" s="96"/>
      <c r="F95" s="96"/>
      <c r="G95" s="108"/>
    </row>
    <row r="96" spans="1:7">
      <c r="A96" s="96"/>
      <c r="B96" s="96"/>
      <c r="C96" s="96"/>
      <c r="D96" s="96"/>
      <c r="E96" s="96"/>
      <c r="F96" s="96"/>
      <c r="G96" s="108"/>
    </row>
    <row r="97" spans="1:7">
      <c r="A97" s="96"/>
      <c r="B97" s="96"/>
      <c r="C97" s="96"/>
      <c r="D97" s="96"/>
      <c r="E97" s="96"/>
      <c r="F97" s="96"/>
      <c r="G97" s="108"/>
    </row>
    <row r="98" spans="1:7" ht="21.95" customHeight="1">
      <c r="A98" s="300" t="s">
        <v>2005</v>
      </c>
      <c r="B98" s="301"/>
      <c r="C98" s="301"/>
      <c r="D98" s="301"/>
      <c r="E98" s="301"/>
      <c r="F98" s="301"/>
      <c r="G98" s="302"/>
    </row>
    <row r="99" spans="1:7" ht="38.25">
      <c r="A99" s="96">
        <v>10.1</v>
      </c>
      <c r="B99" s="96" t="s">
        <v>2006</v>
      </c>
      <c r="C99" s="96">
        <v>4720</v>
      </c>
      <c r="D99" s="96" t="s">
        <v>2007</v>
      </c>
      <c r="E99" s="96" t="s">
        <v>2008</v>
      </c>
      <c r="F99" s="96" t="s">
        <v>2009</v>
      </c>
      <c r="G99" s="108" t="s">
        <v>2010</v>
      </c>
    </row>
    <row r="100" spans="1:7">
      <c r="A100" s="96">
        <v>10.199999999999999</v>
      </c>
      <c r="B100" s="96" t="s">
        <v>2011</v>
      </c>
      <c r="C100" s="96">
        <v>4722</v>
      </c>
      <c r="D100" s="96" t="s">
        <v>2012</v>
      </c>
      <c r="E100" s="96" t="s">
        <v>2013</v>
      </c>
      <c r="F100" s="96" t="s">
        <v>822</v>
      </c>
      <c r="G100" s="108" t="s">
        <v>2014</v>
      </c>
    </row>
    <row r="101" spans="1:7" ht="25.5">
      <c r="A101" s="96">
        <v>10.3</v>
      </c>
      <c r="B101" s="96" t="s">
        <v>2015</v>
      </c>
      <c r="C101" s="96">
        <v>4724</v>
      </c>
      <c r="D101" s="96" t="s">
        <v>2016</v>
      </c>
      <c r="E101" s="96" t="s">
        <v>2017</v>
      </c>
      <c r="F101" s="96" t="s">
        <v>822</v>
      </c>
      <c r="G101" s="108" t="s">
        <v>2018</v>
      </c>
    </row>
    <row r="102" spans="1:7" ht="51">
      <c r="A102" s="96">
        <v>10.4</v>
      </c>
      <c r="B102" s="96" t="s">
        <v>2019</v>
      </c>
      <c r="C102" s="96" t="s">
        <v>2020</v>
      </c>
      <c r="D102" s="96" t="s">
        <v>2021</v>
      </c>
      <c r="E102" s="96" t="s">
        <v>2022</v>
      </c>
      <c r="F102" s="96" t="s">
        <v>2023</v>
      </c>
      <c r="G102" s="108" t="s">
        <v>2024</v>
      </c>
    </row>
    <row r="103" spans="1:7" ht="38.25">
      <c r="A103" s="96" t="s">
        <v>1840</v>
      </c>
      <c r="B103" s="96" t="s">
        <v>1841</v>
      </c>
      <c r="C103" s="96" t="s">
        <v>2025</v>
      </c>
      <c r="D103" s="96" t="s">
        <v>2026</v>
      </c>
      <c r="E103" s="96" t="s">
        <v>2027</v>
      </c>
      <c r="F103" s="96" t="s">
        <v>2028</v>
      </c>
      <c r="G103" s="108" t="s">
        <v>2029</v>
      </c>
    </row>
    <row r="104" spans="1:7">
      <c r="A104" s="96"/>
      <c r="B104" s="96"/>
      <c r="C104" s="96"/>
      <c r="D104" s="96"/>
      <c r="E104" s="96"/>
      <c r="F104" s="96"/>
      <c r="G104" s="108"/>
    </row>
    <row r="105" spans="1:7">
      <c r="A105" s="96"/>
      <c r="B105" s="96"/>
      <c r="C105" s="96"/>
      <c r="D105" s="96"/>
      <c r="E105" s="96"/>
      <c r="F105" s="96"/>
      <c r="G105" s="108"/>
    </row>
    <row r="106" spans="1:7" ht="21.95" customHeight="1">
      <c r="A106" s="300" t="s">
        <v>2030</v>
      </c>
      <c r="B106" s="301"/>
      <c r="C106" s="301"/>
      <c r="D106" s="301"/>
      <c r="E106" s="301"/>
      <c r="F106" s="301"/>
      <c r="G106" s="302"/>
    </row>
    <row r="107" spans="1:7" ht="38.25">
      <c r="A107" s="96">
        <v>11.1</v>
      </c>
      <c r="B107" s="96" t="s">
        <v>2031</v>
      </c>
      <c r="C107" s="96">
        <v>4688</v>
      </c>
      <c r="D107" s="96" t="s">
        <v>2032</v>
      </c>
      <c r="E107" s="96" t="s">
        <v>2033</v>
      </c>
      <c r="F107" s="96" t="s">
        <v>807</v>
      </c>
      <c r="G107" s="108" t="s">
        <v>2034</v>
      </c>
    </row>
    <row r="108" spans="1:7" ht="25.5">
      <c r="A108" s="96">
        <v>11.2</v>
      </c>
      <c r="B108" s="96" t="s">
        <v>2035</v>
      </c>
      <c r="C108" s="96">
        <v>4698</v>
      </c>
      <c r="D108" s="96" t="s">
        <v>140</v>
      </c>
      <c r="E108" s="96" t="s">
        <v>2036</v>
      </c>
      <c r="F108" s="96" t="s">
        <v>807</v>
      </c>
      <c r="G108" s="108" t="s">
        <v>2037</v>
      </c>
    </row>
    <row r="109" spans="1:7" ht="25.5">
      <c r="A109" s="96">
        <v>11.3</v>
      </c>
      <c r="B109" s="96" t="s">
        <v>2038</v>
      </c>
      <c r="C109" s="96">
        <v>4624</v>
      </c>
      <c r="D109" s="96" t="s">
        <v>2039</v>
      </c>
      <c r="E109" s="96" t="s">
        <v>2040</v>
      </c>
      <c r="F109" s="96" t="s">
        <v>823</v>
      </c>
      <c r="G109" s="108" t="s">
        <v>2041</v>
      </c>
    </row>
    <row r="110" spans="1:7" ht="38.25">
      <c r="A110" s="96">
        <v>11.4</v>
      </c>
      <c r="B110" s="96" t="s">
        <v>2042</v>
      </c>
      <c r="C110" s="96">
        <v>4688</v>
      </c>
      <c r="D110" s="96" t="s">
        <v>2043</v>
      </c>
      <c r="E110" s="96" t="s">
        <v>2044</v>
      </c>
      <c r="F110" s="96" t="s">
        <v>807</v>
      </c>
      <c r="G110" s="108" t="s">
        <v>2045</v>
      </c>
    </row>
    <row r="111" spans="1:7" ht="36">
      <c r="A111" s="96" t="s">
        <v>1840</v>
      </c>
      <c r="B111" s="96" t="s">
        <v>1841</v>
      </c>
      <c r="C111" s="96">
        <v>4698</v>
      </c>
      <c r="D111" s="96" t="s">
        <v>2046</v>
      </c>
      <c r="E111" s="96" t="s">
        <v>2047</v>
      </c>
      <c r="F111" s="96" t="s">
        <v>2048</v>
      </c>
      <c r="G111" s="108" t="s">
        <v>2049</v>
      </c>
    </row>
    <row r="112" spans="1:7">
      <c r="A112" s="96"/>
      <c r="B112" s="96"/>
      <c r="C112" s="96"/>
      <c r="D112" s="96"/>
      <c r="E112" s="96"/>
      <c r="F112" s="96"/>
      <c r="G112" s="108"/>
    </row>
    <row r="113" spans="1:7">
      <c r="A113" s="96"/>
      <c r="B113" s="96"/>
      <c r="C113" s="96"/>
      <c r="D113" s="96"/>
      <c r="E113" s="96"/>
      <c r="F113" s="96"/>
      <c r="G113" s="108"/>
    </row>
    <row r="114" spans="1:7" ht="21.95" customHeight="1">
      <c r="A114" s="300" t="s">
        <v>2050</v>
      </c>
      <c r="B114" s="301"/>
      <c r="C114" s="301"/>
      <c r="D114" s="301"/>
      <c r="E114" s="301"/>
      <c r="F114" s="301"/>
      <c r="G114" s="302"/>
    </row>
    <row r="115" spans="1:7">
      <c r="A115" s="96">
        <v>12.1</v>
      </c>
      <c r="B115" s="96" t="s">
        <v>1968</v>
      </c>
      <c r="C115" s="96">
        <v>4624</v>
      </c>
      <c r="D115" s="96" t="s">
        <v>2051</v>
      </c>
      <c r="E115" s="96" t="s">
        <v>2052</v>
      </c>
      <c r="F115" s="96" t="s">
        <v>823</v>
      </c>
      <c r="G115" s="108" t="s">
        <v>2053</v>
      </c>
    </row>
    <row r="116" spans="1:7" ht="38.25">
      <c r="A116" s="96">
        <v>12.2</v>
      </c>
      <c r="B116" s="96" t="s">
        <v>2054</v>
      </c>
      <c r="C116" s="96">
        <v>4648</v>
      </c>
      <c r="D116" s="96" t="s">
        <v>2055</v>
      </c>
      <c r="E116" s="96" t="s">
        <v>2056</v>
      </c>
      <c r="F116" s="96" t="s">
        <v>850</v>
      </c>
      <c r="G116" s="108" t="s">
        <v>2057</v>
      </c>
    </row>
    <row r="117" spans="1:7" ht="25.5">
      <c r="A117" s="96">
        <v>12.3</v>
      </c>
      <c r="B117" s="96" t="s">
        <v>1929</v>
      </c>
      <c r="C117" s="96">
        <v>4672</v>
      </c>
      <c r="D117" s="96" t="s">
        <v>2058</v>
      </c>
      <c r="E117" s="96" t="s">
        <v>2059</v>
      </c>
      <c r="F117" s="96" t="s">
        <v>842</v>
      </c>
      <c r="G117" s="108" t="s">
        <v>2060</v>
      </c>
    </row>
    <row r="118" spans="1:7" ht="51">
      <c r="A118" s="96">
        <v>12.4</v>
      </c>
      <c r="B118" s="96" t="s">
        <v>2061</v>
      </c>
      <c r="C118" s="96">
        <v>4688</v>
      </c>
      <c r="D118" s="96" t="s">
        <v>2062</v>
      </c>
      <c r="E118" s="96" t="s">
        <v>2063</v>
      </c>
      <c r="F118" s="96" t="s">
        <v>2064</v>
      </c>
      <c r="G118" s="108" t="s">
        <v>2065</v>
      </c>
    </row>
    <row r="119" spans="1:7" ht="24">
      <c r="A119" s="96" t="s">
        <v>1840</v>
      </c>
      <c r="B119" s="96" t="s">
        <v>1841</v>
      </c>
      <c r="C119" s="96" t="s">
        <v>2066</v>
      </c>
      <c r="D119" s="96" t="s">
        <v>2067</v>
      </c>
      <c r="E119" s="96" t="s">
        <v>2068</v>
      </c>
      <c r="F119" s="96" t="s">
        <v>2069</v>
      </c>
      <c r="G119" s="108" t="s">
        <v>2070</v>
      </c>
    </row>
    <row r="120" spans="1:7">
      <c r="A120" s="96"/>
      <c r="B120" s="96"/>
      <c r="C120" s="96"/>
      <c r="D120" s="96"/>
      <c r="E120" s="96"/>
      <c r="F120" s="96"/>
      <c r="G120" s="108"/>
    </row>
    <row r="121" spans="1:7">
      <c r="A121" s="96"/>
      <c r="B121" s="96"/>
      <c r="C121" s="96"/>
      <c r="D121" s="96"/>
      <c r="E121" s="96"/>
      <c r="F121" s="96"/>
      <c r="G121" s="108"/>
    </row>
    <row r="122" spans="1:7" ht="21.95" customHeight="1">
      <c r="A122" s="300" t="s">
        <v>2071</v>
      </c>
      <c r="B122" s="301"/>
      <c r="C122" s="301"/>
      <c r="D122" s="301"/>
      <c r="E122" s="301"/>
      <c r="F122" s="301"/>
      <c r="G122" s="302"/>
    </row>
    <row r="123" spans="1:7" ht="38.25">
      <c r="A123" s="96">
        <v>13.1</v>
      </c>
      <c r="B123" s="96" t="s">
        <v>2072</v>
      </c>
      <c r="C123" s="96">
        <v>4688</v>
      </c>
      <c r="D123" s="96" t="s">
        <v>2073</v>
      </c>
      <c r="E123" s="96" t="s">
        <v>2074</v>
      </c>
      <c r="F123" s="96" t="s">
        <v>2075</v>
      </c>
      <c r="G123" s="108" t="s">
        <v>2076</v>
      </c>
    </row>
    <row r="124" spans="1:7" ht="51">
      <c r="A124" s="96">
        <v>13.2</v>
      </c>
      <c r="B124" s="96" t="s">
        <v>1804</v>
      </c>
      <c r="C124" s="96">
        <v>4719</v>
      </c>
      <c r="D124" s="96" t="s">
        <v>2077</v>
      </c>
      <c r="E124" s="96" t="s">
        <v>2078</v>
      </c>
      <c r="F124" s="96" t="s">
        <v>852</v>
      </c>
      <c r="G124" s="108" t="s">
        <v>2079</v>
      </c>
    </row>
    <row r="125" spans="1:7" ht="38.25">
      <c r="A125" s="96">
        <v>13.3</v>
      </c>
      <c r="B125" s="96" t="s">
        <v>2080</v>
      </c>
      <c r="C125" s="96">
        <v>1102</v>
      </c>
      <c r="D125" s="96" t="s">
        <v>2081</v>
      </c>
      <c r="E125" s="96" t="s">
        <v>2082</v>
      </c>
      <c r="F125" s="96" t="s">
        <v>804</v>
      </c>
      <c r="G125" s="108" t="s">
        <v>2083</v>
      </c>
    </row>
    <row r="126" spans="1:7" ht="25.5">
      <c r="A126" s="96">
        <v>13.4</v>
      </c>
      <c r="B126" s="96" t="s">
        <v>2084</v>
      </c>
      <c r="C126" s="96" t="s">
        <v>2085</v>
      </c>
      <c r="D126" s="96" t="s">
        <v>2086</v>
      </c>
      <c r="E126" s="96" t="s">
        <v>2087</v>
      </c>
      <c r="F126" s="96" t="s">
        <v>852</v>
      </c>
      <c r="G126" s="108" t="s">
        <v>2088</v>
      </c>
    </row>
    <row r="127" spans="1:7" ht="36">
      <c r="A127" s="96" t="s">
        <v>1840</v>
      </c>
      <c r="B127" s="96" t="s">
        <v>1841</v>
      </c>
      <c r="C127" s="96" t="s">
        <v>2089</v>
      </c>
      <c r="D127" s="96" t="s">
        <v>2090</v>
      </c>
      <c r="E127" s="96" t="s">
        <v>2091</v>
      </c>
      <c r="F127" s="96" t="s">
        <v>2092</v>
      </c>
      <c r="G127" s="108" t="s">
        <v>2093</v>
      </c>
    </row>
    <row r="128" spans="1:7">
      <c r="A128" s="96"/>
      <c r="B128" s="96"/>
      <c r="C128" s="96"/>
      <c r="D128" s="96"/>
      <c r="E128" s="96"/>
      <c r="F128" s="96"/>
      <c r="G128" s="108"/>
    </row>
    <row r="129" spans="1:7">
      <c r="A129" s="96"/>
      <c r="B129" s="96"/>
      <c r="C129" s="96"/>
      <c r="D129" s="96"/>
      <c r="E129" s="96"/>
      <c r="F129" s="96"/>
      <c r="G129" s="108"/>
    </row>
    <row r="130" spans="1:7" ht="21.95" customHeight="1">
      <c r="A130" s="300" t="s">
        <v>2094</v>
      </c>
      <c r="B130" s="301"/>
      <c r="C130" s="301"/>
      <c r="D130" s="301"/>
      <c r="E130" s="301"/>
      <c r="F130" s="301"/>
      <c r="G130" s="302"/>
    </row>
    <row r="131" spans="1:7" ht="51">
      <c r="A131" s="96">
        <v>14.1</v>
      </c>
      <c r="B131" s="96" t="s">
        <v>2095</v>
      </c>
      <c r="C131" s="96">
        <v>4688</v>
      </c>
      <c r="D131" s="96" t="s">
        <v>2096</v>
      </c>
      <c r="E131" s="96" t="s">
        <v>2097</v>
      </c>
      <c r="F131" s="96" t="s">
        <v>2098</v>
      </c>
      <c r="G131" s="108" t="s">
        <v>2099</v>
      </c>
    </row>
    <row r="132" spans="1:7" ht="51">
      <c r="A132" s="96">
        <v>14.2</v>
      </c>
      <c r="B132" s="96" t="s">
        <v>1804</v>
      </c>
      <c r="C132" s="96" t="s">
        <v>2100</v>
      </c>
      <c r="D132" s="96" t="s">
        <v>2101</v>
      </c>
      <c r="E132" s="96" t="s">
        <v>2102</v>
      </c>
      <c r="F132" s="96" t="s">
        <v>2103</v>
      </c>
      <c r="G132" s="108" t="s">
        <v>2104</v>
      </c>
    </row>
    <row r="133" spans="1:7" ht="51">
      <c r="A133" s="96">
        <v>14.3</v>
      </c>
      <c r="B133" s="96" t="s">
        <v>2105</v>
      </c>
      <c r="C133" s="96">
        <v>4663</v>
      </c>
      <c r="D133" s="96" t="s">
        <v>2106</v>
      </c>
      <c r="E133" s="96" t="s">
        <v>2107</v>
      </c>
      <c r="F133" s="96" t="s">
        <v>2108</v>
      </c>
      <c r="G133" s="108" t="s">
        <v>2109</v>
      </c>
    </row>
    <row r="134" spans="1:7" ht="38.25">
      <c r="A134" s="96">
        <v>14.4</v>
      </c>
      <c r="B134" s="96" t="s">
        <v>2110</v>
      </c>
      <c r="C134" s="96" t="s">
        <v>1934</v>
      </c>
      <c r="D134" s="96" t="s">
        <v>2111</v>
      </c>
      <c r="E134" s="96" t="s">
        <v>2112</v>
      </c>
      <c r="F134" s="96" t="s">
        <v>813</v>
      </c>
      <c r="G134" s="108" t="s">
        <v>2113</v>
      </c>
    </row>
    <row r="135" spans="1:7" ht="36">
      <c r="A135" s="96" t="s">
        <v>1840</v>
      </c>
      <c r="B135" s="96" t="s">
        <v>1841</v>
      </c>
      <c r="C135" s="96" t="s">
        <v>2114</v>
      </c>
      <c r="D135" s="96" t="s">
        <v>2115</v>
      </c>
      <c r="E135" s="96" t="s">
        <v>2116</v>
      </c>
      <c r="F135" s="96" t="s">
        <v>2117</v>
      </c>
      <c r="G135" s="108" t="s">
        <v>2118</v>
      </c>
    </row>
    <row r="138" spans="1:7" ht="21.95" customHeight="1">
      <c r="A138" s="299" t="s">
        <v>2416</v>
      </c>
      <c r="B138" s="299"/>
      <c r="C138" s="299"/>
      <c r="D138" s="299"/>
      <c r="E138" s="299"/>
      <c r="F138" s="299"/>
      <c r="G138" s="299"/>
    </row>
    <row r="139" spans="1:7" ht="51">
      <c r="A139" s="96">
        <v>15.1</v>
      </c>
      <c r="B139" s="96" t="s">
        <v>2417</v>
      </c>
      <c r="C139" s="96">
        <v>4662</v>
      </c>
      <c r="D139" s="96" t="s">
        <v>2418</v>
      </c>
      <c r="E139" s="96" t="s">
        <v>2419</v>
      </c>
      <c r="F139" s="96" t="s">
        <v>2420</v>
      </c>
      <c r="G139" s="108" t="s">
        <v>2421</v>
      </c>
    </row>
    <row r="140" spans="1:7" ht="51">
      <c r="A140" s="96">
        <v>15.2</v>
      </c>
      <c r="B140" s="96" t="s">
        <v>2422</v>
      </c>
      <c r="C140" s="96">
        <v>4886</v>
      </c>
      <c r="D140" s="96" t="s">
        <v>2423</v>
      </c>
      <c r="E140" s="96" t="s">
        <v>2424</v>
      </c>
      <c r="F140" s="96" t="s">
        <v>854</v>
      </c>
      <c r="G140" s="108" t="s">
        <v>2425</v>
      </c>
    </row>
    <row r="141" spans="1:7" ht="38.25">
      <c r="A141" s="96">
        <v>15.3</v>
      </c>
      <c r="B141" s="96" t="s">
        <v>2426</v>
      </c>
      <c r="C141" s="96">
        <v>4887</v>
      </c>
      <c r="D141" s="96" t="s">
        <v>2427</v>
      </c>
      <c r="E141" s="96" t="s">
        <v>2428</v>
      </c>
      <c r="F141" s="96" t="s">
        <v>854</v>
      </c>
      <c r="G141" s="108" t="s">
        <v>2429</v>
      </c>
    </row>
    <row r="142" spans="1:7" ht="63.75">
      <c r="A142" s="96">
        <v>15.4</v>
      </c>
      <c r="B142" s="96" t="s">
        <v>2430</v>
      </c>
      <c r="C142" s="96">
        <v>4768</v>
      </c>
      <c r="D142" s="96" t="s">
        <v>2431</v>
      </c>
      <c r="E142" s="96" t="s">
        <v>2432</v>
      </c>
      <c r="F142" s="96" t="s">
        <v>2433</v>
      </c>
      <c r="G142" s="108" t="s">
        <v>2434</v>
      </c>
    </row>
    <row r="143" spans="1:7" ht="38.25">
      <c r="A143" s="96">
        <v>15.5</v>
      </c>
      <c r="B143" s="96" t="s">
        <v>2435</v>
      </c>
      <c r="C143" s="96" t="s">
        <v>2436</v>
      </c>
      <c r="D143" s="96" t="s">
        <v>2437</v>
      </c>
      <c r="E143" s="96" t="s">
        <v>2438</v>
      </c>
      <c r="F143" s="96" t="s">
        <v>1907</v>
      </c>
      <c r="G143" s="108" t="s">
        <v>2439</v>
      </c>
    </row>
    <row r="144" spans="1:7" ht="38.25">
      <c r="A144" s="96" t="s">
        <v>1840</v>
      </c>
      <c r="B144" s="96" t="s">
        <v>1841</v>
      </c>
      <c r="C144" s="96" t="s">
        <v>2440</v>
      </c>
      <c r="D144" s="96" t="s">
        <v>2441</v>
      </c>
      <c r="E144" s="96" t="s">
        <v>2442</v>
      </c>
      <c r="F144" s="96" t="s">
        <v>2443</v>
      </c>
      <c r="G144" s="108" t="s">
        <v>2444</v>
      </c>
    </row>
  </sheetData>
  <mergeCells count="19">
    <mergeCell ref="A82:G82"/>
    <mergeCell ref="A1:I1"/>
    <mergeCell ref="A2:I2"/>
    <mergeCell ref="A4:I4"/>
    <mergeCell ref="A21:G21"/>
    <mergeCell ref="A24:G24"/>
    <mergeCell ref="A33:G33"/>
    <mergeCell ref="A42:G42"/>
    <mergeCell ref="A50:G50"/>
    <mergeCell ref="A58:G58"/>
    <mergeCell ref="A66:G66"/>
    <mergeCell ref="A74:G74"/>
    <mergeCell ref="A138:G138"/>
    <mergeCell ref="A90:G90"/>
    <mergeCell ref="A98:G98"/>
    <mergeCell ref="A106:G106"/>
    <mergeCell ref="A114:G114"/>
    <mergeCell ref="A122:G122"/>
    <mergeCell ref="A130:G130"/>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65BFE-49F0-4C4F-8ADA-E980950F72D1}">
  <sheetPr>
    <tabColor theme="4" tint="0.59999389629810485"/>
  </sheetPr>
  <dimension ref="A1:G48"/>
  <sheetViews>
    <sheetView zoomScale="160" zoomScaleNormal="160" workbookViewId="0">
      <pane ySplit="3" topLeftCell="A4" activePane="bottomLeft" state="frozen"/>
      <selection pane="bottomLeft" activeCell="A3" sqref="A3"/>
    </sheetView>
  </sheetViews>
  <sheetFormatPr defaultRowHeight="15"/>
  <cols>
    <col min="1" max="1" width="17.140625" customWidth="1"/>
    <col min="2" max="2" width="21" customWidth="1"/>
    <col min="3" max="3" width="24.7109375" customWidth="1"/>
    <col min="4" max="4" width="33.28515625" customWidth="1"/>
    <col min="5" max="5" width="41.85546875" customWidth="1"/>
    <col min="6" max="6" width="27.5703125" customWidth="1"/>
    <col min="7" max="7" width="40" customWidth="1"/>
  </cols>
  <sheetData>
    <row r="1" spans="1:7" ht="42" customHeight="1">
      <c r="A1" s="306" t="s">
        <v>3918</v>
      </c>
      <c r="B1" s="306"/>
      <c r="C1" s="306"/>
      <c r="D1" s="306"/>
      <c r="E1" s="306"/>
      <c r="F1" s="306"/>
      <c r="G1" s="306"/>
    </row>
    <row r="2" spans="1:7" ht="24" customHeight="1">
      <c r="A2" s="307" t="s">
        <v>3919</v>
      </c>
      <c r="B2" s="307"/>
      <c r="C2" s="307"/>
      <c r="D2" s="307"/>
      <c r="E2" s="307"/>
      <c r="F2" s="307"/>
      <c r="G2" s="307"/>
    </row>
    <row r="3" spans="1:7" ht="30" customHeight="1">
      <c r="A3" s="237" t="s">
        <v>3920</v>
      </c>
      <c r="B3" s="237" t="s">
        <v>3921</v>
      </c>
      <c r="C3" s="237" t="s">
        <v>3922</v>
      </c>
      <c r="D3" s="237" t="s">
        <v>3923</v>
      </c>
      <c r="E3" s="237" t="s">
        <v>3924</v>
      </c>
      <c r="F3" s="237" t="s">
        <v>3925</v>
      </c>
      <c r="G3" s="238" t="s">
        <v>3926</v>
      </c>
    </row>
    <row r="4" spans="1:7" ht="75" customHeight="1">
      <c r="A4" s="239" t="s">
        <v>936</v>
      </c>
      <c r="B4" s="240" t="s">
        <v>3927</v>
      </c>
      <c r="C4" s="240" t="s">
        <v>3928</v>
      </c>
      <c r="D4" s="240" t="s">
        <v>3929</v>
      </c>
      <c r="E4" s="240" t="s">
        <v>3930</v>
      </c>
      <c r="F4" s="240" t="s">
        <v>3931</v>
      </c>
      <c r="G4" s="240" t="s">
        <v>3932</v>
      </c>
    </row>
    <row r="5" spans="1:7" ht="75" customHeight="1">
      <c r="A5" s="241" t="s">
        <v>936</v>
      </c>
      <c r="B5" s="242" t="s">
        <v>3927</v>
      </c>
      <c r="C5" s="242" t="s">
        <v>3933</v>
      </c>
      <c r="D5" s="242" t="s">
        <v>3934</v>
      </c>
      <c r="E5" s="242" t="s">
        <v>3935</v>
      </c>
      <c r="F5" s="242" t="s">
        <v>3936</v>
      </c>
      <c r="G5" s="242" t="s">
        <v>3937</v>
      </c>
    </row>
    <row r="6" spans="1:7" ht="75" customHeight="1">
      <c r="A6" s="241" t="s">
        <v>936</v>
      </c>
      <c r="B6" s="243" t="s">
        <v>3927</v>
      </c>
      <c r="C6" s="243" t="s">
        <v>3938</v>
      </c>
      <c r="D6" s="243" t="s">
        <v>3939</v>
      </c>
      <c r="E6" s="243" t="s">
        <v>3940</v>
      </c>
      <c r="F6" s="243" t="s">
        <v>3941</v>
      </c>
      <c r="G6" s="243" t="s">
        <v>3942</v>
      </c>
    </row>
    <row r="7" spans="1:7" ht="75" customHeight="1">
      <c r="A7" s="241" t="s">
        <v>936</v>
      </c>
      <c r="B7" s="242" t="s">
        <v>3943</v>
      </c>
      <c r="C7" s="242" t="s">
        <v>3944</v>
      </c>
      <c r="D7" s="242" t="s">
        <v>3945</v>
      </c>
      <c r="E7" s="242" t="s">
        <v>3946</v>
      </c>
      <c r="F7" s="242" t="s">
        <v>3947</v>
      </c>
      <c r="G7" s="242" t="s">
        <v>3948</v>
      </c>
    </row>
    <row r="8" spans="1:7" ht="75" customHeight="1">
      <c r="A8" s="241" t="s">
        <v>936</v>
      </c>
      <c r="B8" s="243" t="s">
        <v>3949</v>
      </c>
      <c r="C8" s="243" t="s">
        <v>3950</v>
      </c>
      <c r="D8" s="243" t="s">
        <v>3951</v>
      </c>
      <c r="E8" s="243" t="s">
        <v>3952</v>
      </c>
      <c r="F8" s="243" t="s">
        <v>3953</v>
      </c>
      <c r="G8" s="243" t="s">
        <v>3954</v>
      </c>
    </row>
    <row r="9" spans="1:7" ht="75" customHeight="1">
      <c r="A9" s="241" t="s">
        <v>936</v>
      </c>
      <c r="B9" s="242" t="s">
        <v>3949</v>
      </c>
      <c r="C9" s="242" t="s">
        <v>3955</v>
      </c>
      <c r="D9" s="242" t="s">
        <v>3956</v>
      </c>
      <c r="E9" s="242" t="s">
        <v>3957</v>
      </c>
      <c r="F9" s="242" t="s">
        <v>3958</v>
      </c>
      <c r="G9" s="242" t="s">
        <v>3959</v>
      </c>
    </row>
    <row r="10" spans="1:7" ht="75" customHeight="1">
      <c r="A10" s="241" t="s">
        <v>936</v>
      </c>
      <c r="B10" s="243" t="s">
        <v>3949</v>
      </c>
      <c r="C10" s="243" t="s">
        <v>3960</v>
      </c>
      <c r="D10" s="243" t="s">
        <v>3961</v>
      </c>
      <c r="E10" s="243" t="s">
        <v>3962</v>
      </c>
      <c r="F10" s="243" t="s">
        <v>3963</v>
      </c>
      <c r="G10" s="243" t="s">
        <v>3964</v>
      </c>
    </row>
    <row r="11" spans="1:7" ht="75" customHeight="1">
      <c r="A11" s="241" t="s">
        <v>936</v>
      </c>
      <c r="B11" s="242" t="s">
        <v>3965</v>
      </c>
      <c r="C11" s="242" t="s">
        <v>3966</v>
      </c>
      <c r="D11" s="242" t="s">
        <v>3967</v>
      </c>
      <c r="E11" s="242" t="s">
        <v>3968</v>
      </c>
      <c r="F11" s="242" t="s">
        <v>3969</v>
      </c>
      <c r="G11" s="242" t="s">
        <v>3970</v>
      </c>
    </row>
    <row r="12" spans="1:7" ht="75" customHeight="1">
      <c r="A12" s="241" t="s">
        <v>936</v>
      </c>
      <c r="B12" s="243" t="s">
        <v>3971</v>
      </c>
      <c r="C12" s="243" t="s">
        <v>3972</v>
      </c>
      <c r="D12" s="243" t="s">
        <v>3973</v>
      </c>
      <c r="E12" s="243" t="s">
        <v>3974</v>
      </c>
      <c r="F12" s="243" t="s">
        <v>3975</v>
      </c>
      <c r="G12" s="243" t="s">
        <v>3976</v>
      </c>
    </row>
    <row r="13" spans="1:7" ht="75" customHeight="1">
      <c r="A13" s="241" t="s">
        <v>936</v>
      </c>
      <c r="B13" s="242" t="s">
        <v>3977</v>
      </c>
      <c r="C13" s="242" t="s">
        <v>3978</v>
      </c>
      <c r="D13" s="242" t="s">
        <v>3979</v>
      </c>
      <c r="E13" s="242" t="s">
        <v>3980</v>
      </c>
      <c r="F13" s="242" t="s">
        <v>3981</v>
      </c>
      <c r="G13" s="242" t="s">
        <v>3982</v>
      </c>
    </row>
    <row r="14" spans="1:7" ht="75" customHeight="1">
      <c r="A14" s="243" t="s">
        <v>3983</v>
      </c>
      <c r="B14" s="243" t="s">
        <v>3943</v>
      </c>
      <c r="C14" s="243" t="s">
        <v>3984</v>
      </c>
      <c r="D14" s="243" t="s">
        <v>3985</v>
      </c>
      <c r="E14" s="243" t="s">
        <v>3986</v>
      </c>
      <c r="F14" s="243" t="s">
        <v>3987</v>
      </c>
      <c r="G14" s="243" t="s">
        <v>3988</v>
      </c>
    </row>
    <row r="15" spans="1:7" ht="75" customHeight="1">
      <c r="A15" s="242" t="s">
        <v>3983</v>
      </c>
      <c r="B15" s="242" t="s">
        <v>3977</v>
      </c>
      <c r="C15" s="242" t="s">
        <v>3989</v>
      </c>
      <c r="D15" s="242" t="s">
        <v>3990</v>
      </c>
      <c r="E15" s="242" t="s">
        <v>3991</v>
      </c>
      <c r="F15" s="242" t="s">
        <v>3992</v>
      </c>
      <c r="G15" s="242" t="s">
        <v>3993</v>
      </c>
    </row>
    <row r="16" spans="1:7" ht="75" customHeight="1">
      <c r="A16" s="243" t="s">
        <v>3983</v>
      </c>
      <c r="B16" s="243" t="s">
        <v>3949</v>
      </c>
      <c r="C16" s="243" t="s">
        <v>3994</v>
      </c>
      <c r="D16" s="243" t="s">
        <v>3995</v>
      </c>
      <c r="E16" s="243" t="s">
        <v>3996</v>
      </c>
      <c r="F16" s="243" t="s">
        <v>3997</v>
      </c>
      <c r="G16" s="243" t="s">
        <v>3998</v>
      </c>
    </row>
    <row r="17" spans="1:7" ht="75" customHeight="1">
      <c r="A17" s="242" t="s">
        <v>3983</v>
      </c>
      <c r="B17" s="242" t="s">
        <v>3965</v>
      </c>
      <c r="C17" s="242" t="s">
        <v>3999</v>
      </c>
      <c r="D17" s="242" t="s">
        <v>4000</v>
      </c>
      <c r="E17" s="242" t="s">
        <v>4001</v>
      </c>
      <c r="F17" s="242" t="s">
        <v>4002</v>
      </c>
      <c r="G17" s="242" t="s">
        <v>4003</v>
      </c>
    </row>
    <row r="18" spans="1:7" ht="75" customHeight="1">
      <c r="A18" s="244" t="s">
        <v>4004</v>
      </c>
      <c r="B18" s="243" t="s">
        <v>3949</v>
      </c>
      <c r="C18" s="243" t="s">
        <v>4005</v>
      </c>
      <c r="D18" s="243" t="s">
        <v>4006</v>
      </c>
      <c r="E18" s="243" t="s">
        <v>4007</v>
      </c>
      <c r="F18" s="243" t="s">
        <v>4008</v>
      </c>
      <c r="G18" s="243" t="s">
        <v>4009</v>
      </c>
    </row>
    <row r="19" spans="1:7" ht="75" customHeight="1">
      <c r="A19" s="244" t="s">
        <v>4004</v>
      </c>
      <c r="B19" s="242" t="s">
        <v>3965</v>
      </c>
      <c r="C19" s="242" t="s">
        <v>4010</v>
      </c>
      <c r="D19" s="242" t="s">
        <v>4011</v>
      </c>
      <c r="E19" s="242" t="s">
        <v>4012</v>
      </c>
      <c r="F19" s="242" t="s">
        <v>4013</v>
      </c>
      <c r="G19" s="242" t="s">
        <v>4014</v>
      </c>
    </row>
    <row r="20" spans="1:7" ht="75" customHeight="1">
      <c r="A20" s="245" t="s">
        <v>4015</v>
      </c>
      <c r="B20" s="243" t="s">
        <v>4016</v>
      </c>
      <c r="C20" s="243" t="s">
        <v>4017</v>
      </c>
      <c r="D20" s="243" t="s">
        <v>4018</v>
      </c>
      <c r="E20" s="243" t="s">
        <v>4019</v>
      </c>
      <c r="F20" s="243" t="s">
        <v>4020</v>
      </c>
      <c r="G20" s="243" t="s">
        <v>4021</v>
      </c>
    </row>
    <row r="21" spans="1:7" ht="75" customHeight="1">
      <c r="A21" s="245" t="s">
        <v>4015</v>
      </c>
      <c r="B21" s="242" t="s">
        <v>4016</v>
      </c>
      <c r="C21" s="242" t="s">
        <v>4022</v>
      </c>
      <c r="D21" s="242" t="s">
        <v>4023</v>
      </c>
      <c r="E21" s="242" t="s">
        <v>4024</v>
      </c>
      <c r="F21" s="242" t="s">
        <v>4025</v>
      </c>
      <c r="G21" s="242" t="s">
        <v>4026</v>
      </c>
    </row>
    <row r="22" spans="1:7" ht="75" customHeight="1">
      <c r="A22" s="246" t="s">
        <v>4027</v>
      </c>
      <c r="B22" s="243" t="s">
        <v>4016</v>
      </c>
      <c r="C22" s="243" t="s">
        <v>4027</v>
      </c>
      <c r="D22" s="243" t="s">
        <v>4028</v>
      </c>
      <c r="E22" s="243" t="s">
        <v>4029</v>
      </c>
      <c r="F22" s="243" t="s">
        <v>4030</v>
      </c>
      <c r="G22" s="243" t="s">
        <v>4031</v>
      </c>
    </row>
    <row r="23" spans="1:7" ht="75" customHeight="1">
      <c r="A23" s="247" t="s">
        <v>4032</v>
      </c>
      <c r="B23" s="242" t="s">
        <v>4016</v>
      </c>
      <c r="C23" s="242" t="s">
        <v>4033</v>
      </c>
      <c r="D23" s="242" t="s">
        <v>4034</v>
      </c>
      <c r="E23" s="242" t="s">
        <v>4035</v>
      </c>
      <c r="F23" s="242" t="s">
        <v>4036</v>
      </c>
      <c r="G23" s="242" t="s">
        <v>4037</v>
      </c>
    </row>
    <row r="24" spans="1:7" ht="75" customHeight="1">
      <c r="A24" s="247" t="s">
        <v>4032</v>
      </c>
      <c r="B24" s="243" t="s">
        <v>4016</v>
      </c>
      <c r="C24" s="243" t="s">
        <v>4038</v>
      </c>
      <c r="D24" s="243" t="s">
        <v>4039</v>
      </c>
      <c r="E24" s="243" t="s">
        <v>4040</v>
      </c>
      <c r="F24" s="243" t="s">
        <v>4041</v>
      </c>
      <c r="G24" s="243" t="s">
        <v>4042</v>
      </c>
    </row>
    <row r="25" spans="1:7" ht="75" customHeight="1">
      <c r="A25" s="248" t="s">
        <v>4043</v>
      </c>
      <c r="B25" s="242" t="s">
        <v>4044</v>
      </c>
      <c r="C25" s="242" t="s">
        <v>4045</v>
      </c>
      <c r="D25" s="242" t="s">
        <v>4046</v>
      </c>
      <c r="E25" s="242" t="s">
        <v>4047</v>
      </c>
      <c r="F25" s="242" t="s">
        <v>4048</v>
      </c>
      <c r="G25" s="242" t="s">
        <v>4049</v>
      </c>
    </row>
    <row r="26" spans="1:7" ht="75" customHeight="1">
      <c r="A26" s="248" t="s">
        <v>4043</v>
      </c>
      <c r="B26" s="243" t="s">
        <v>4050</v>
      </c>
      <c r="C26" s="243" t="s">
        <v>4051</v>
      </c>
      <c r="D26" s="243" t="s">
        <v>4052</v>
      </c>
      <c r="E26" s="243" t="s">
        <v>4053</v>
      </c>
      <c r="F26" s="243" t="s">
        <v>4054</v>
      </c>
      <c r="G26" s="243" t="s">
        <v>4055</v>
      </c>
    </row>
    <row r="27" spans="1:7" ht="75" customHeight="1">
      <c r="A27" s="249" t="s">
        <v>4056</v>
      </c>
      <c r="B27" s="242" t="s">
        <v>4057</v>
      </c>
      <c r="C27" s="242" t="s">
        <v>4058</v>
      </c>
      <c r="D27" s="242" t="s">
        <v>4059</v>
      </c>
      <c r="E27" s="242" t="s">
        <v>4060</v>
      </c>
      <c r="F27" s="242" t="s">
        <v>4061</v>
      </c>
      <c r="G27" s="242" t="s">
        <v>4062</v>
      </c>
    </row>
    <row r="28" spans="1:7" ht="75" customHeight="1">
      <c r="A28" s="249" t="s">
        <v>4056</v>
      </c>
      <c r="B28" s="243" t="s">
        <v>3943</v>
      </c>
      <c r="C28" s="243" t="s">
        <v>4063</v>
      </c>
      <c r="D28" s="243" t="s">
        <v>4064</v>
      </c>
      <c r="E28" s="243" t="s">
        <v>4065</v>
      </c>
      <c r="F28" s="243" t="s">
        <v>4066</v>
      </c>
      <c r="G28" s="243" t="s">
        <v>4067</v>
      </c>
    </row>
    <row r="29" spans="1:7" ht="75" customHeight="1">
      <c r="A29" s="250" t="s">
        <v>259</v>
      </c>
      <c r="B29" s="242" t="s">
        <v>3965</v>
      </c>
      <c r="C29" s="242" t="s">
        <v>4068</v>
      </c>
      <c r="D29" s="242" t="s">
        <v>4069</v>
      </c>
      <c r="E29" s="242" t="s">
        <v>4070</v>
      </c>
      <c r="F29" s="242" t="s">
        <v>4071</v>
      </c>
      <c r="G29" s="242" t="s">
        <v>4072</v>
      </c>
    </row>
    <row r="30" spans="1:7" ht="75" customHeight="1">
      <c r="A30" s="250" t="s">
        <v>259</v>
      </c>
      <c r="B30" s="243" t="s">
        <v>3965</v>
      </c>
      <c r="C30" s="243" t="s">
        <v>4073</v>
      </c>
      <c r="D30" s="243" t="s">
        <v>4074</v>
      </c>
      <c r="E30" s="243" t="s">
        <v>4075</v>
      </c>
      <c r="F30" s="243" t="s">
        <v>4076</v>
      </c>
      <c r="G30" s="243" t="s">
        <v>4077</v>
      </c>
    </row>
    <row r="31" spans="1:7" ht="75" customHeight="1">
      <c r="A31" s="251" t="s">
        <v>4078</v>
      </c>
      <c r="B31" s="242" t="s">
        <v>4044</v>
      </c>
      <c r="C31" s="242" t="s">
        <v>4079</v>
      </c>
      <c r="D31" s="242" t="s">
        <v>4080</v>
      </c>
      <c r="E31" s="242" t="s">
        <v>4081</v>
      </c>
      <c r="F31" s="242" t="s">
        <v>4082</v>
      </c>
      <c r="G31" s="242" t="s">
        <v>4083</v>
      </c>
    </row>
    <row r="32" spans="1:7" ht="75" customHeight="1">
      <c r="A32" s="252" t="s">
        <v>4084</v>
      </c>
      <c r="B32" s="243" t="s">
        <v>4016</v>
      </c>
      <c r="C32" s="243" t="s">
        <v>4085</v>
      </c>
      <c r="D32" s="243" t="s">
        <v>4086</v>
      </c>
      <c r="E32" s="243" t="s">
        <v>4087</v>
      </c>
      <c r="F32" s="243" t="s">
        <v>4088</v>
      </c>
      <c r="G32" s="243" t="s">
        <v>4089</v>
      </c>
    </row>
    <row r="33" spans="1:7" ht="75" customHeight="1">
      <c r="A33" s="253" t="s">
        <v>4090</v>
      </c>
      <c r="B33" s="242" t="s">
        <v>4016</v>
      </c>
      <c r="C33" s="242" t="s">
        <v>4091</v>
      </c>
      <c r="D33" s="242" t="s">
        <v>4092</v>
      </c>
      <c r="E33" s="242" t="s">
        <v>4093</v>
      </c>
      <c r="F33" s="242" t="s">
        <v>4094</v>
      </c>
      <c r="G33" s="242" t="s">
        <v>4095</v>
      </c>
    </row>
    <row r="34" spans="1:7" ht="75" customHeight="1">
      <c r="A34" s="254" t="s">
        <v>4096</v>
      </c>
      <c r="B34" s="243" t="s">
        <v>3927</v>
      </c>
      <c r="C34" s="243" t="s">
        <v>4097</v>
      </c>
      <c r="D34" s="243" t="s">
        <v>4098</v>
      </c>
      <c r="E34" s="243" t="s">
        <v>4099</v>
      </c>
      <c r="F34" s="243" t="s">
        <v>4100</v>
      </c>
      <c r="G34" s="243" t="s">
        <v>4101</v>
      </c>
    </row>
    <row r="35" spans="1:7" ht="75" customHeight="1">
      <c r="A35" s="256" t="s">
        <v>1051</v>
      </c>
      <c r="B35" s="242" t="s">
        <v>3927</v>
      </c>
      <c r="C35" s="242" t="s">
        <v>4102</v>
      </c>
      <c r="D35" s="242" t="s">
        <v>4103</v>
      </c>
      <c r="E35" s="242" t="s">
        <v>4104</v>
      </c>
      <c r="F35" s="242" t="s">
        <v>4105</v>
      </c>
      <c r="G35" s="242" t="s">
        <v>4106</v>
      </c>
    </row>
    <row r="36" spans="1:7" ht="60">
      <c r="A36" s="258" t="s">
        <v>4107</v>
      </c>
      <c r="B36" s="257" t="s">
        <v>4108</v>
      </c>
      <c r="C36" s="257" t="s">
        <v>4109</v>
      </c>
      <c r="D36" s="259" t="s">
        <v>4110</v>
      </c>
      <c r="E36" s="257" t="s">
        <v>4111</v>
      </c>
      <c r="F36" s="257" t="s">
        <v>4112</v>
      </c>
      <c r="G36" s="257" t="s">
        <v>4113</v>
      </c>
    </row>
    <row r="37" spans="1:7" ht="60">
      <c r="A37" s="258" t="s">
        <v>4107</v>
      </c>
      <c r="B37" s="255" t="s">
        <v>4108</v>
      </c>
      <c r="C37" s="255" t="s">
        <v>4114</v>
      </c>
      <c r="D37" s="259" t="s">
        <v>4115</v>
      </c>
      <c r="E37" s="255" t="s">
        <v>4116</v>
      </c>
      <c r="F37" s="255" t="s">
        <v>4117</v>
      </c>
      <c r="G37" s="255" t="s">
        <v>4118</v>
      </c>
    </row>
    <row r="38" spans="1:7" ht="48">
      <c r="A38" s="258" t="s">
        <v>4107</v>
      </c>
      <c r="B38" s="257" t="s">
        <v>4108</v>
      </c>
      <c r="C38" s="257" t="s">
        <v>4119</v>
      </c>
      <c r="D38" s="259" t="s">
        <v>4120</v>
      </c>
      <c r="E38" s="257" t="s">
        <v>4121</v>
      </c>
      <c r="F38" s="257" t="s">
        <v>4122</v>
      </c>
      <c r="G38" s="257" t="s">
        <v>4123</v>
      </c>
    </row>
    <row r="39" spans="1:7" ht="90">
      <c r="A39" s="260" t="s">
        <v>4124</v>
      </c>
      <c r="B39" s="255" t="s">
        <v>4125</v>
      </c>
      <c r="C39" s="255" t="s">
        <v>4126</v>
      </c>
      <c r="D39" s="259" t="s">
        <v>4127</v>
      </c>
      <c r="E39" s="255" t="s">
        <v>4128</v>
      </c>
      <c r="F39" s="255" t="s">
        <v>4129</v>
      </c>
      <c r="G39" s="255" t="s">
        <v>4130</v>
      </c>
    </row>
    <row r="40" spans="1:7" ht="90">
      <c r="A40" s="260" t="s">
        <v>4124</v>
      </c>
      <c r="B40" s="257" t="s">
        <v>3949</v>
      </c>
      <c r="C40" s="257" t="s">
        <v>4131</v>
      </c>
      <c r="D40" s="259" t="s">
        <v>4132</v>
      </c>
      <c r="E40" s="257" t="s">
        <v>4133</v>
      </c>
      <c r="F40" s="257" t="s">
        <v>4134</v>
      </c>
      <c r="G40" s="257" t="s">
        <v>4135</v>
      </c>
    </row>
    <row r="41" spans="1:7" ht="48">
      <c r="A41" s="261" t="s">
        <v>3983</v>
      </c>
      <c r="B41" s="255" t="s">
        <v>3971</v>
      </c>
      <c r="C41" s="255" t="s">
        <v>4136</v>
      </c>
      <c r="D41" s="259" t="s">
        <v>4137</v>
      </c>
      <c r="E41" s="255" t="s">
        <v>4138</v>
      </c>
      <c r="F41" s="255" t="s">
        <v>4139</v>
      </c>
      <c r="G41" s="255" t="s">
        <v>4140</v>
      </c>
    </row>
    <row r="42" spans="1:7" ht="48">
      <c r="A42" s="261" t="s">
        <v>3983</v>
      </c>
      <c r="B42" s="257" t="s">
        <v>3927</v>
      </c>
      <c r="C42" s="257" t="s">
        <v>4141</v>
      </c>
      <c r="D42" s="259" t="s">
        <v>4142</v>
      </c>
      <c r="E42" s="257" t="s">
        <v>4143</v>
      </c>
      <c r="F42" s="257" t="s">
        <v>4144</v>
      </c>
      <c r="G42" s="257" t="s">
        <v>4145</v>
      </c>
    </row>
    <row r="43" spans="1:7" ht="48">
      <c r="A43" s="261" t="s">
        <v>3983</v>
      </c>
      <c r="B43" s="255" t="s">
        <v>3927</v>
      </c>
      <c r="C43" s="255" t="s">
        <v>4146</v>
      </c>
      <c r="D43" s="259" t="s">
        <v>4147</v>
      </c>
      <c r="E43" s="255" t="s">
        <v>4148</v>
      </c>
      <c r="F43" s="255" t="s">
        <v>4149</v>
      </c>
      <c r="G43" s="255" t="s">
        <v>4150</v>
      </c>
    </row>
    <row r="44" spans="1:7" ht="60">
      <c r="A44" s="261" t="s">
        <v>3983</v>
      </c>
      <c r="B44" s="257" t="s">
        <v>4057</v>
      </c>
      <c r="C44" s="257" t="s">
        <v>4151</v>
      </c>
      <c r="D44" s="259" t="s">
        <v>4152</v>
      </c>
      <c r="E44" s="257" t="s">
        <v>4153</v>
      </c>
      <c r="F44" s="257" t="s">
        <v>4154</v>
      </c>
      <c r="G44" s="257" t="s">
        <v>4155</v>
      </c>
    </row>
    <row r="45" spans="1:7" ht="60">
      <c r="A45" s="262" t="s">
        <v>4156</v>
      </c>
      <c r="B45" s="255" t="s">
        <v>4016</v>
      </c>
      <c r="C45" s="255" t="s">
        <v>4157</v>
      </c>
      <c r="D45" s="259" t="s">
        <v>4158</v>
      </c>
      <c r="E45" s="255" t="s">
        <v>4159</v>
      </c>
      <c r="F45" s="255" t="s">
        <v>4160</v>
      </c>
      <c r="G45" s="255" t="s">
        <v>4161</v>
      </c>
    </row>
    <row r="46" spans="1:7" ht="60">
      <c r="A46" s="262" t="s">
        <v>4156</v>
      </c>
      <c r="B46" s="257" t="s">
        <v>4162</v>
      </c>
      <c r="C46" s="257" t="s">
        <v>4163</v>
      </c>
      <c r="D46" s="259" t="s">
        <v>4164</v>
      </c>
      <c r="E46" s="257" t="s">
        <v>4165</v>
      </c>
      <c r="F46" s="257" t="s">
        <v>4166</v>
      </c>
      <c r="G46" s="257" t="s">
        <v>4167</v>
      </c>
    </row>
    <row r="47" spans="1:7" ht="60">
      <c r="A47" s="262" t="s">
        <v>4156</v>
      </c>
      <c r="B47" s="255" t="s">
        <v>3965</v>
      </c>
      <c r="C47" s="255" t="s">
        <v>4168</v>
      </c>
      <c r="D47" s="259" t="s">
        <v>4169</v>
      </c>
      <c r="E47" s="255" t="s">
        <v>4170</v>
      </c>
      <c r="F47" s="255" t="s">
        <v>4171</v>
      </c>
      <c r="G47" s="255" t="s">
        <v>4172</v>
      </c>
    </row>
    <row r="48" spans="1:7" ht="48">
      <c r="A48" s="262" t="s">
        <v>4156</v>
      </c>
      <c r="B48" s="257" t="s">
        <v>4057</v>
      </c>
      <c r="C48" s="257" t="s">
        <v>4173</v>
      </c>
      <c r="D48" s="259" t="s">
        <v>4174</v>
      </c>
      <c r="E48" s="257" t="s">
        <v>4175</v>
      </c>
      <c r="F48" s="257" t="s">
        <v>4176</v>
      </c>
      <c r="G48" s="257" t="s">
        <v>4177</v>
      </c>
    </row>
  </sheetData>
  <mergeCells count="2">
    <mergeCell ref="A1:G1"/>
    <mergeCell ref="A2:G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00BE2-AC74-40C1-A45B-D3DD5E816BEA}">
  <sheetPr>
    <tabColor theme="7" tint="0.59999389629810485"/>
  </sheetPr>
  <dimension ref="A1:O44"/>
  <sheetViews>
    <sheetView zoomScaleNormal="100" workbookViewId="0">
      <pane ySplit="1" topLeftCell="A17" activePane="bottomLeft" state="frozen"/>
      <selection pane="bottomLeft" activeCell="A2" sqref="A2"/>
    </sheetView>
  </sheetViews>
  <sheetFormatPr defaultRowHeight="15"/>
  <cols>
    <col min="1" max="1" width="24" customWidth="1"/>
    <col min="2" max="2" width="40" customWidth="1"/>
    <col min="3" max="3" width="12.5703125" customWidth="1"/>
    <col min="4" max="4" width="21.7109375" customWidth="1"/>
    <col min="5" max="5" width="56.5703125" customWidth="1"/>
    <col min="6" max="6" width="11" customWidth="1"/>
    <col min="7" max="7" width="43.85546875" customWidth="1"/>
    <col min="8" max="8" width="46.7109375" customWidth="1"/>
    <col min="9" max="9" width="30.140625" customWidth="1"/>
    <col min="10" max="10" width="17.28515625" customWidth="1"/>
    <col min="11" max="11" width="46.7109375" customWidth="1"/>
    <col min="12" max="12" width="73.28515625" customWidth="1"/>
    <col min="13" max="13" width="50.7109375" customWidth="1"/>
    <col min="14" max="14" width="42.7109375" customWidth="1"/>
    <col min="15" max="15" width="21.28515625" customWidth="1"/>
    <col min="21" max="21" width="9.140625" customWidth="1"/>
    <col min="30" max="30" width="9.140625" customWidth="1"/>
  </cols>
  <sheetData>
    <row r="1" spans="1:15" ht="30" customHeight="1">
      <c r="A1" s="129" t="s">
        <v>0</v>
      </c>
      <c r="B1" s="129" t="s">
        <v>2450</v>
      </c>
      <c r="C1" s="139" t="s">
        <v>2451</v>
      </c>
      <c r="D1" s="139" t="s">
        <v>2</v>
      </c>
      <c r="E1" s="139" t="s">
        <v>6</v>
      </c>
      <c r="F1" s="139" t="s">
        <v>4</v>
      </c>
      <c r="G1" s="139" t="s">
        <v>8</v>
      </c>
      <c r="H1" s="140" t="s">
        <v>2720</v>
      </c>
      <c r="I1" s="139" t="s">
        <v>11</v>
      </c>
      <c r="J1" s="139" t="s">
        <v>885</v>
      </c>
      <c r="K1" s="141" t="s">
        <v>1456</v>
      </c>
      <c r="L1" s="141" t="s">
        <v>1455</v>
      </c>
      <c r="M1" s="139" t="s">
        <v>12</v>
      </c>
      <c r="N1" s="139" t="s">
        <v>680</v>
      </c>
      <c r="O1" s="139" t="s">
        <v>5</v>
      </c>
    </row>
    <row r="2" spans="1:15" ht="159.94999999999999" customHeight="1">
      <c r="A2" s="133" t="s">
        <v>2555</v>
      </c>
      <c r="B2" s="134" t="s">
        <v>4821</v>
      </c>
      <c r="C2" s="142" t="s">
        <v>2556</v>
      </c>
      <c r="D2" s="143" t="s">
        <v>4822</v>
      </c>
      <c r="E2" s="142" t="s">
        <v>4823</v>
      </c>
      <c r="F2" s="144" t="s">
        <v>84</v>
      </c>
      <c r="G2" s="142" t="s">
        <v>2557</v>
      </c>
      <c r="H2" s="145" t="s">
        <v>2724</v>
      </c>
      <c r="I2" s="142" t="s">
        <v>4819</v>
      </c>
      <c r="J2" s="142" t="s">
        <v>2558</v>
      </c>
      <c r="K2" s="146" t="s">
        <v>2562</v>
      </c>
      <c r="L2" s="147" t="s">
        <v>2561</v>
      </c>
      <c r="M2" s="142" t="s">
        <v>2559</v>
      </c>
      <c r="N2" s="148" t="s">
        <v>2560</v>
      </c>
      <c r="O2" s="149" t="s">
        <v>131</v>
      </c>
    </row>
    <row r="3" spans="1:15" ht="159.94999999999999" customHeight="1">
      <c r="A3" s="136" t="s">
        <v>2487</v>
      </c>
      <c r="B3" s="135" t="s">
        <v>2488</v>
      </c>
      <c r="C3" s="150" t="s">
        <v>2455</v>
      </c>
      <c r="D3" s="143" t="s">
        <v>2489</v>
      </c>
      <c r="E3" s="150" t="s">
        <v>2563</v>
      </c>
      <c r="F3" s="144" t="s">
        <v>84</v>
      </c>
      <c r="G3" s="150" t="s">
        <v>2490</v>
      </c>
      <c r="H3" s="145" t="s">
        <v>2725</v>
      </c>
      <c r="I3" s="150" t="s">
        <v>2491</v>
      </c>
      <c r="J3" s="150" t="s">
        <v>2492</v>
      </c>
      <c r="K3" s="146" t="s">
        <v>2494</v>
      </c>
      <c r="L3" s="147" t="s">
        <v>4824</v>
      </c>
      <c r="M3" s="150" t="s">
        <v>2493</v>
      </c>
      <c r="N3" s="151" t="s">
        <v>2453</v>
      </c>
      <c r="O3" s="152" t="s">
        <v>131</v>
      </c>
    </row>
    <row r="4" spans="1:15" ht="159.94999999999999" customHeight="1">
      <c r="A4" s="130" t="s">
        <v>1798</v>
      </c>
      <c r="B4" s="134" t="s">
        <v>2458</v>
      </c>
      <c r="C4" s="142" t="s">
        <v>2455</v>
      </c>
      <c r="D4" s="143" t="s">
        <v>2459</v>
      </c>
      <c r="E4" s="142" t="s">
        <v>2460</v>
      </c>
      <c r="F4" s="144" t="s">
        <v>84</v>
      </c>
      <c r="G4" s="142" t="s">
        <v>2461</v>
      </c>
      <c r="H4" s="145" t="s">
        <v>2726</v>
      </c>
      <c r="I4" s="142" t="s">
        <v>2462</v>
      </c>
      <c r="J4" s="142" t="s">
        <v>2463</v>
      </c>
      <c r="K4" s="146" t="s">
        <v>2467</v>
      </c>
      <c r="L4" s="147" t="s">
        <v>2466</v>
      </c>
      <c r="M4" s="142" t="s">
        <v>2464</v>
      </c>
      <c r="N4" s="148" t="s">
        <v>2465</v>
      </c>
      <c r="O4" s="149" t="s">
        <v>20</v>
      </c>
    </row>
    <row r="5" spans="1:15" ht="159.94999999999999" customHeight="1">
      <c r="A5" s="137" t="s">
        <v>2468</v>
      </c>
      <c r="B5" s="135" t="s">
        <v>2469</v>
      </c>
      <c r="C5" s="150" t="s">
        <v>2455</v>
      </c>
      <c r="D5" s="150" t="s">
        <v>2470</v>
      </c>
      <c r="E5" s="150" t="s">
        <v>2471</v>
      </c>
      <c r="F5" s="144" t="s">
        <v>84</v>
      </c>
      <c r="G5" s="150" t="s">
        <v>2472</v>
      </c>
      <c r="H5" s="145" t="s">
        <v>2727</v>
      </c>
      <c r="I5" s="150" t="s">
        <v>2473</v>
      </c>
      <c r="J5" s="150" t="s">
        <v>2474</v>
      </c>
      <c r="K5" s="146" t="s">
        <v>2477</v>
      </c>
      <c r="L5" s="147" t="s">
        <v>2476</v>
      </c>
      <c r="M5" s="150" t="s">
        <v>2475</v>
      </c>
      <c r="N5" s="153" t="s">
        <v>2453</v>
      </c>
      <c r="O5" s="152" t="s">
        <v>31</v>
      </c>
    </row>
    <row r="6" spans="1:15" ht="159.94999999999999" customHeight="1">
      <c r="A6" s="137" t="s">
        <v>2468</v>
      </c>
      <c r="B6" s="134" t="s">
        <v>2564</v>
      </c>
      <c r="C6" s="142" t="s">
        <v>2455</v>
      </c>
      <c r="D6" s="142" t="s">
        <v>2478</v>
      </c>
      <c r="E6" s="142" t="s">
        <v>2479</v>
      </c>
      <c r="F6" s="144" t="s">
        <v>84</v>
      </c>
      <c r="G6" s="142" t="s">
        <v>2480</v>
      </c>
      <c r="H6" s="145" t="s">
        <v>2728</v>
      </c>
      <c r="I6" s="142" t="s">
        <v>2481</v>
      </c>
      <c r="J6" s="142" t="s">
        <v>2482</v>
      </c>
      <c r="K6" s="146" t="s">
        <v>2485</v>
      </c>
      <c r="L6" s="147" t="s">
        <v>2484</v>
      </c>
      <c r="M6" s="142" t="s">
        <v>2483</v>
      </c>
      <c r="N6" s="148" t="s">
        <v>2453</v>
      </c>
      <c r="O6" s="149" t="s">
        <v>31</v>
      </c>
    </row>
    <row r="7" spans="1:15" ht="159.94999999999999" customHeight="1">
      <c r="A7" s="130" t="s">
        <v>1792</v>
      </c>
      <c r="B7" s="135" t="s">
        <v>2507</v>
      </c>
      <c r="C7" s="150" t="s">
        <v>2455</v>
      </c>
      <c r="D7" s="150" t="s">
        <v>2508</v>
      </c>
      <c r="E7" s="150" t="s">
        <v>2509</v>
      </c>
      <c r="F7" s="144" t="s">
        <v>84</v>
      </c>
      <c r="G7" s="150" t="s">
        <v>2510</v>
      </c>
      <c r="H7" s="145" t="s">
        <v>2729</v>
      </c>
      <c r="I7" s="150" t="s">
        <v>2511</v>
      </c>
      <c r="J7" s="150" t="s">
        <v>2512</v>
      </c>
      <c r="K7" s="146" t="s">
        <v>2516</v>
      </c>
      <c r="L7" s="147" t="s">
        <v>2515</v>
      </c>
      <c r="M7" s="150" t="s">
        <v>2513</v>
      </c>
      <c r="N7" s="153" t="s">
        <v>2514</v>
      </c>
      <c r="O7" s="152" t="s">
        <v>31</v>
      </c>
    </row>
    <row r="8" spans="1:15" ht="159.94999999999999" customHeight="1">
      <c r="A8" s="130" t="s">
        <v>2497</v>
      </c>
      <c r="B8" s="134" t="s">
        <v>2565</v>
      </c>
      <c r="C8" s="142" t="s">
        <v>2498</v>
      </c>
      <c r="D8" s="142" t="s">
        <v>2499</v>
      </c>
      <c r="E8" s="142" t="s">
        <v>2500</v>
      </c>
      <c r="F8" s="144" t="s">
        <v>84</v>
      </c>
      <c r="G8" s="142" t="s">
        <v>2501</v>
      </c>
      <c r="H8" s="145" t="s">
        <v>2730</v>
      </c>
      <c r="I8" s="142" t="s">
        <v>2502</v>
      </c>
      <c r="J8" s="142" t="s">
        <v>2503</v>
      </c>
      <c r="K8" s="146" t="s">
        <v>2506</v>
      </c>
      <c r="L8" s="147" t="s">
        <v>2566</v>
      </c>
      <c r="M8" s="142" t="s">
        <v>2504</v>
      </c>
      <c r="N8" s="148" t="s">
        <v>2505</v>
      </c>
      <c r="O8" s="149" t="s">
        <v>31</v>
      </c>
    </row>
    <row r="9" spans="1:15" ht="159.94999999999999" customHeight="1">
      <c r="A9" s="132" t="s">
        <v>1804</v>
      </c>
      <c r="B9" s="135" t="s">
        <v>2567</v>
      </c>
      <c r="C9" s="150" t="s">
        <v>2455</v>
      </c>
      <c r="D9" s="150" t="s">
        <v>2568</v>
      </c>
      <c r="E9" s="150" t="s">
        <v>2517</v>
      </c>
      <c r="F9" s="144" t="s">
        <v>84</v>
      </c>
      <c r="G9" s="150" t="s">
        <v>2518</v>
      </c>
      <c r="H9" s="145" t="s">
        <v>2731</v>
      </c>
      <c r="I9" s="150" t="s">
        <v>2519</v>
      </c>
      <c r="J9" s="150" t="s">
        <v>2520</v>
      </c>
      <c r="K9" s="146" t="s">
        <v>2523</v>
      </c>
      <c r="L9" s="147" t="s">
        <v>2522</v>
      </c>
      <c r="M9" s="150" t="s">
        <v>2521</v>
      </c>
      <c r="N9" s="153" t="s">
        <v>2453</v>
      </c>
      <c r="O9" s="152" t="s">
        <v>31</v>
      </c>
    </row>
    <row r="10" spans="1:15" ht="159.94999999999999" customHeight="1">
      <c r="A10" s="130" t="s">
        <v>1798</v>
      </c>
      <c r="B10" s="134" t="s">
        <v>2526</v>
      </c>
      <c r="C10" s="142" t="s">
        <v>2498</v>
      </c>
      <c r="D10" s="142" t="s">
        <v>2527</v>
      </c>
      <c r="E10" s="142" t="s">
        <v>2528</v>
      </c>
      <c r="F10" s="144" t="s">
        <v>84</v>
      </c>
      <c r="G10" s="142" t="s">
        <v>2529</v>
      </c>
      <c r="H10" s="145" t="s">
        <v>2732</v>
      </c>
      <c r="I10" s="142" t="s">
        <v>2530</v>
      </c>
      <c r="J10" s="142" t="s">
        <v>2531</v>
      </c>
      <c r="K10" s="146" t="s">
        <v>2535</v>
      </c>
      <c r="L10" s="147" t="s">
        <v>2534</v>
      </c>
      <c r="M10" s="142" t="s">
        <v>2532</v>
      </c>
      <c r="N10" s="148" t="s">
        <v>2533</v>
      </c>
      <c r="O10" s="149" t="s">
        <v>31</v>
      </c>
    </row>
    <row r="11" spans="1:15" ht="159.94999999999999" customHeight="1">
      <c r="A11" s="131" t="s">
        <v>2569</v>
      </c>
      <c r="B11" s="135" t="s">
        <v>2570</v>
      </c>
      <c r="C11" s="150" t="s">
        <v>2571</v>
      </c>
      <c r="D11" s="150" t="s">
        <v>2572</v>
      </c>
      <c r="E11" s="150" t="s">
        <v>2573</v>
      </c>
      <c r="F11" s="144" t="s">
        <v>84</v>
      </c>
      <c r="G11" s="150" t="s">
        <v>2574</v>
      </c>
      <c r="H11" s="145" t="s">
        <v>2733</v>
      </c>
      <c r="I11" s="150" t="s">
        <v>2575</v>
      </c>
      <c r="J11" s="150" t="s">
        <v>2576</v>
      </c>
      <c r="K11" s="146" t="s">
        <v>2723</v>
      </c>
      <c r="L11" s="147" t="s">
        <v>2579</v>
      </c>
      <c r="M11" s="150" t="s">
        <v>2577</v>
      </c>
      <c r="N11" s="153" t="s">
        <v>2578</v>
      </c>
      <c r="O11" s="152" t="s">
        <v>19</v>
      </c>
    </row>
    <row r="12" spans="1:15" ht="159.94999999999999" customHeight="1">
      <c r="A12" s="131" t="s">
        <v>2569</v>
      </c>
      <c r="B12" s="134" t="s">
        <v>2580</v>
      </c>
      <c r="C12" s="142" t="s">
        <v>2581</v>
      </c>
      <c r="D12" s="143" t="s">
        <v>2582</v>
      </c>
      <c r="E12" s="142" t="s">
        <v>2583</v>
      </c>
      <c r="F12" s="144" t="s">
        <v>84</v>
      </c>
      <c r="G12" s="142" t="s">
        <v>2584</v>
      </c>
      <c r="H12" s="145" t="s">
        <v>2734</v>
      </c>
      <c r="I12" s="142" t="s">
        <v>2585</v>
      </c>
      <c r="J12" s="142" t="s">
        <v>2586</v>
      </c>
      <c r="K12" s="146" t="s">
        <v>2722</v>
      </c>
      <c r="L12" s="147" t="s">
        <v>2588</v>
      </c>
      <c r="M12" s="142" t="s">
        <v>4826</v>
      </c>
      <c r="N12" s="148" t="s">
        <v>2587</v>
      </c>
      <c r="O12" s="149" t="s">
        <v>20</v>
      </c>
    </row>
    <row r="13" spans="1:15" ht="159.94999999999999" customHeight="1">
      <c r="A13" s="136" t="s">
        <v>2487</v>
      </c>
      <c r="B13" s="135" t="s">
        <v>2589</v>
      </c>
      <c r="C13" s="150" t="s">
        <v>2455</v>
      </c>
      <c r="D13" s="143" t="s">
        <v>2590</v>
      </c>
      <c r="E13" s="150" t="s">
        <v>2591</v>
      </c>
      <c r="F13" s="144" t="s">
        <v>84</v>
      </c>
      <c r="G13" s="150" t="s">
        <v>2592</v>
      </c>
      <c r="H13" s="145" t="s">
        <v>2735</v>
      </c>
      <c r="I13" s="150" t="s">
        <v>2593</v>
      </c>
      <c r="J13" s="150" t="s">
        <v>2594</v>
      </c>
      <c r="K13" s="146" t="s">
        <v>2598</v>
      </c>
      <c r="L13" s="147" t="s">
        <v>2597</v>
      </c>
      <c r="M13" s="150" t="s">
        <v>2595</v>
      </c>
      <c r="N13" s="153" t="s">
        <v>2596</v>
      </c>
      <c r="O13" s="152" t="s">
        <v>20</v>
      </c>
    </row>
    <row r="14" spans="1:15" ht="159.94999999999999" customHeight="1">
      <c r="A14" s="138" t="s">
        <v>16</v>
      </c>
      <c r="B14" s="134" t="s">
        <v>4815</v>
      </c>
      <c r="C14" s="142" t="s">
        <v>2455</v>
      </c>
      <c r="D14" s="142" t="s">
        <v>2599</v>
      </c>
      <c r="E14" s="142" t="s">
        <v>2600</v>
      </c>
      <c r="F14" s="154" t="s">
        <v>20</v>
      </c>
      <c r="G14" s="142" t="s">
        <v>2601</v>
      </c>
      <c r="H14" s="145" t="s">
        <v>2736</v>
      </c>
      <c r="I14" s="142" t="s">
        <v>2602</v>
      </c>
      <c r="J14" s="142" t="s">
        <v>2452</v>
      </c>
      <c r="K14" s="146" t="s">
        <v>2605</v>
      </c>
      <c r="L14" s="147" t="s">
        <v>2604</v>
      </c>
      <c r="M14" s="142" t="s">
        <v>2603</v>
      </c>
      <c r="N14" s="148" t="s">
        <v>2453</v>
      </c>
      <c r="O14" s="149" t="s">
        <v>131</v>
      </c>
    </row>
    <row r="15" spans="1:15" ht="159.94999999999999" customHeight="1">
      <c r="A15" s="138" t="s">
        <v>16</v>
      </c>
      <c r="B15" s="135" t="s">
        <v>2454</v>
      </c>
      <c r="C15" s="150" t="s">
        <v>2455</v>
      </c>
      <c r="D15" s="150" t="s">
        <v>2606</v>
      </c>
      <c r="E15" s="150" t="s">
        <v>2607</v>
      </c>
      <c r="F15" s="154" t="s">
        <v>20</v>
      </c>
      <c r="G15" s="150" t="s">
        <v>2608</v>
      </c>
      <c r="H15" s="145" t="s">
        <v>2737</v>
      </c>
      <c r="I15" s="150" t="s">
        <v>2609</v>
      </c>
      <c r="J15" s="150" t="s">
        <v>2610</v>
      </c>
      <c r="K15" s="146" t="s">
        <v>2613</v>
      </c>
      <c r="L15" s="147" t="s">
        <v>2612</v>
      </c>
      <c r="M15" s="150" t="s">
        <v>2611</v>
      </c>
      <c r="N15" s="153" t="s">
        <v>2453</v>
      </c>
      <c r="O15" s="152" t="s">
        <v>131</v>
      </c>
    </row>
    <row r="16" spans="1:15" ht="159.94999999999999" customHeight="1">
      <c r="A16" s="131" t="s">
        <v>2486</v>
      </c>
      <c r="B16" s="134" t="s">
        <v>2614</v>
      </c>
      <c r="C16" s="142" t="s">
        <v>2615</v>
      </c>
      <c r="D16" s="155" t="s">
        <v>2616</v>
      </c>
      <c r="E16" s="142" t="s">
        <v>2617</v>
      </c>
      <c r="F16" s="154" t="s">
        <v>20</v>
      </c>
      <c r="G16" s="142" t="s">
        <v>2618</v>
      </c>
      <c r="H16" s="145" t="s">
        <v>2738</v>
      </c>
      <c r="I16" s="142" t="s">
        <v>2619</v>
      </c>
      <c r="J16" s="142" t="s">
        <v>2620</v>
      </c>
      <c r="K16" s="146" t="s">
        <v>2624</v>
      </c>
      <c r="L16" s="147" t="s">
        <v>2623</v>
      </c>
      <c r="M16" s="142" t="s">
        <v>2621</v>
      </c>
      <c r="N16" s="148" t="s">
        <v>2622</v>
      </c>
      <c r="O16" s="149" t="s">
        <v>131</v>
      </c>
    </row>
    <row r="17" spans="1:15" ht="159.94999999999999" customHeight="1">
      <c r="A17" s="131" t="s">
        <v>2486</v>
      </c>
      <c r="B17" s="135" t="s">
        <v>2625</v>
      </c>
      <c r="C17" s="150" t="s">
        <v>2615</v>
      </c>
      <c r="D17" s="155" t="s">
        <v>2626</v>
      </c>
      <c r="E17" s="156" t="s">
        <v>2627</v>
      </c>
      <c r="F17" s="154" t="s">
        <v>20</v>
      </c>
      <c r="G17" s="150" t="s">
        <v>2628</v>
      </c>
      <c r="H17" s="145" t="s">
        <v>4825</v>
      </c>
      <c r="I17" s="150" t="s">
        <v>2629</v>
      </c>
      <c r="J17" s="150" t="s">
        <v>2456</v>
      </c>
      <c r="K17" s="146" t="s">
        <v>2633</v>
      </c>
      <c r="L17" s="147" t="s">
        <v>2632</v>
      </c>
      <c r="M17" s="150" t="s">
        <v>2630</v>
      </c>
      <c r="N17" s="153" t="s">
        <v>2631</v>
      </c>
      <c r="O17" s="152" t="s">
        <v>131</v>
      </c>
    </row>
    <row r="18" spans="1:15" ht="159.94999999999999" customHeight="1">
      <c r="A18" s="136" t="s">
        <v>2487</v>
      </c>
      <c r="B18" s="134" t="s">
        <v>2495</v>
      </c>
      <c r="C18" s="142" t="s">
        <v>2455</v>
      </c>
      <c r="D18" s="142" t="s">
        <v>2634</v>
      </c>
      <c r="E18" s="142" t="s">
        <v>2635</v>
      </c>
      <c r="F18" s="154" t="s">
        <v>20</v>
      </c>
      <c r="G18" s="142" t="s">
        <v>2636</v>
      </c>
      <c r="H18" s="145" t="s">
        <v>2739</v>
      </c>
      <c r="I18" s="142" t="s">
        <v>2637</v>
      </c>
      <c r="J18" s="142" t="s">
        <v>2638</v>
      </c>
      <c r="K18" s="146" t="s">
        <v>2641</v>
      </c>
      <c r="L18" s="147" t="s">
        <v>2640</v>
      </c>
      <c r="M18" s="142" t="s">
        <v>2639</v>
      </c>
      <c r="N18" s="148" t="s">
        <v>2453</v>
      </c>
      <c r="O18" s="149" t="s">
        <v>131</v>
      </c>
    </row>
    <row r="19" spans="1:15" ht="159.94999999999999" customHeight="1">
      <c r="A19" s="137" t="s">
        <v>2496</v>
      </c>
      <c r="B19" s="135" t="s">
        <v>2642</v>
      </c>
      <c r="C19" s="150" t="s">
        <v>2455</v>
      </c>
      <c r="D19" s="150" t="s">
        <v>2643</v>
      </c>
      <c r="E19" s="150" t="s">
        <v>2644</v>
      </c>
      <c r="F19" s="154" t="s">
        <v>20</v>
      </c>
      <c r="G19" s="150" t="s">
        <v>2645</v>
      </c>
      <c r="H19" s="145" t="s">
        <v>2740</v>
      </c>
      <c r="I19" s="150" t="s">
        <v>2646</v>
      </c>
      <c r="J19" s="150" t="s">
        <v>2647</v>
      </c>
      <c r="K19" s="146" t="s">
        <v>2651</v>
      </c>
      <c r="L19" s="147" t="s">
        <v>2650</v>
      </c>
      <c r="M19" s="150" t="s">
        <v>2648</v>
      </c>
      <c r="N19" s="153" t="s">
        <v>2649</v>
      </c>
      <c r="O19" s="152" t="s">
        <v>20</v>
      </c>
    </row>
    <row r="20" spans="1:15" ht="159.94999999999999" customHeight="1">
      <c r="A20" s="131" t="s">
        <v>259</v>
      </c>
      <c r="B20" s="134" t="s">
        <v>2652</v>
      </c>
      <c r="C20" s="142" t="s">
        <v>2455</v>
      </c>
      <c r="D20" s="142" t="s">
        <v>2653</v>
      </c>
      <c r="E20" s="142" t="s">
        <v>2654</v>
      </c>
      <c r="F20" s="154" t="s">
        <v>20</v>
      </c>
      <c r="G20" s="142" t="s">
        <v>4820</v>
      </c>
      <c r="H20" s="145" t="s">
        <v>2741</v>
      </c>
      <c r="I20" s="142" t="s">
        <v>2655</v>
      </c>
      <c r="J20" s="142" t="s">
        <v>2656</v>
      </c>
      <c r="K20" s="146" t="s">
        <v>2659</v>
      </c>
      <c r="L20" s="147" t="s">
        <v>2721</v>
      </c>
      <c r="M20" s="142" t="s">
        <v>2657</v>
      </c>
      <c r="N20" s="148" t="s">
        <v>2658</v>
      </c>
      <c r="O20" s="149" t="s">
        <v>131</v>
      </c>
    </row>
    <row r="21" spans="1:15" ht="159.94999999999999" customHeight="1">
      <c r="A21" s="132" t="s">
        <v>2536</v>
      </c>
      <c r="B21" s="135" t="s">
        <v>2537</v>
      </c>
      <c r="C21" s="150" t="s">
        <v>2455</v>
      </c>
      <c r="D21" s="150" t="s">
        <v>2538</v>
      </c>
      <c r="E21" s="150" t="s">
        <v>2539</v>
      </c>
      <c r="F21" s="154" t="s">
        <v>20</v>
      </c>
      <c r="G21" s="150" t="s">
        <v>2540</v>
      </c>
      <c r="H21" s="145" t="s">
        <v>2742</v>
      </c>
      <c r="I21" s="150" t="s">
        <v>2541</v>
      </c>
      <c r="J21" s="150" t="s">
        <v>2542</v>
      </c>
      <c r="K21" s="146" t="s">
        <v>2545</v>
      </c>
      <c r="L21" s="147" t="s">
        <v>2544</v>
      </c>
      <c r="M21" s="150" t="s">
        <v>2543</v>
      </c>
      <c r="N21" s="153" t="s">
        <v>2453</v>
      </c>
      <c r="O21" s="152" t="s">
        <v>19</v>
      </c>
    </row>
    <row r="22" spans="1:15" ht="159.94999999999999" customHeight="1">
      <c r="A22" s="131" t="s">
        <v>259</v>
      </c>
      <c r="B22" s="134" t="s">
        <v>2546</v>
      </c>
      <c r="C22" s="142" t="s">
        <v>2455</v>
      </c>
      <c r="D22" s="142" t="s">
        <v>2547</v>
      </c>
      <c r="E22" s="142" t="s">
        <v>2660</v>
      </c>
      <c r="F22" s="154" t="s">
        <v>20</v>
      </c>
      <c r="G22" s="142" t="s">
        <v>2548</v>
      </c>
      <c r="H22" s="145" t="s">
        <v>2743</v>
      </c>
      <c r="I22" s="142" t="s">
        <v>2549</v>
      </c>
      <c r="J22" s="142" t="s">
        <v>2550</v>
      </c>
      <c r="K22" s="146" t="s">
        <v>2554</v>
      </c>
      <c r="L22" s="147" t="s">
        <v>2553</v>
      </c>
      <c r="M22" s="142" t="s">
        <v>2551</v>
      </c>
      <c r="N22" s="148" t="s">
        <v>2552</v>
      </c>
      <c r="O22" s="149" t="s">
        <v>19</v>
      </c>
    </row>
    <row r="23" spans="1:15" ht="159.94999999999999" customHeight="1">
      <c r="A23" s="130" t="s">
        <v>1798</v>
      </c>
      <c r="B23" s="135" t="s">
        <v>4816</v>
      </c>
      <c r="C23" s="150" t="s">
        <v>2455</v>
      </c>
      <c r="D23" s="150" t="s">
        <v>2661</v>
      </c>
      <c r="E23" s="150" t="s">
        <v>2662</v>
      </c>
      <c r="F23" s="154" t="s">
        <v>20</v>
      </c>
      <c r="G23" s="150" t="s">
        <v>2663</v>
      </c>
      <c r="H23" s="145" t="s">
        <v>2744</v>
      </c>
      <c r="I23" s="150" t="s">
        <v>2664</v>
      </c>
      <c r="J23" s="150" t="s">
        <v>2665</v>
      </c>
      <c r="K23" s="146" t="s">
        <v>2668</v>
      </c>
      <c r="L23" s="147" t="s">
        <v>2667</v>
      </c>
      <c r="M23" s="150" t="s">
        <v>2666</v>
      </c>
      <c r="N23" s="153" t="s">
        <v>2453</v>
      </c>
      <c r="O23" s="152" t="s">
        <v>31</v>
      </c>
    </row>
    <row r="24" spans="1:15" ht="159.94999999999999" customHeight="1">
      <c r="A24" s="130" t="s">
        <v>1798</v>
      </c>
      <c r="B24" s="134" t="s">
        <v>4817</v>
      </c>
      <c r="C24" s="142" t="s">
        <v>2455</v>
      </c>
      <c r="D24" s="142" t="s">
        <v>2669</v>
      </c>
      <c r="E24" s="142" t="s">
        <v>2670</v>
      </c>
      <c r="F24" s="154" t="s">
        <v>20</v>
      </c>
      <c r="G24" s="142" t="s">
        <v>2671</v>
      </c>
      <c r="H24" s="145" t="s">
        <v>2745</v>
      </c>
      <c r="I24" s="142" t="s">
        <v>2672</v>
      </c>
      <c r="J24" s="142" t="s">
        <v>2673</v>
      </c>
      <c r="K24" s="146" t="s">
        <v>2676</v>
      </c>
      <c r="L24" s="147" t="s">
        <v>2675</v>
      </c>
      <c r="M24" s="142" t="s">
        <v>2674</v>
      </c>
      <c r="N24" s="148" t="s">
        <v>2453</v>
      </c>
      <c r="O24" s="149" t="s">
        <v>31</v>
      </c>
    </row>
    <row r="25" spans="1:15" ht="159.94999999999999" customHeight="1">
      <c r="A25" s="138" t="s">
        <v>2524</v>
      </c>
      <c r="B25" s="135" t="s">
        <v>2525</v>
      </c>
      <c r="C25" s="150" t="s">
        <v>2455</v>
      </c>
      <c r="D25" s="150" t="s">
        <v>2677</v>
      </c>
      <c r="E25" s="150" t="s">
        <v>4818</v>
      </c>
      <c r="F25" s="154" t="s">
        <v>20</v>
      </c>
      <c r="G25" s="150" t="s">
        <v>2678</v>
      </c>
      <c r="H25" s="145" t="s">
        <v>2746</v>
      </c>
      <c r="I25" s="150" t="s">
        <v>2679</v>
      </c>
      <c r="J25" s="150" t="s">
        <v>2680</v>
      </c>
      <c r="K25" s="146" t="s">
        <v>2683</v>
      </c>
      <c r="L25" s="147" t="s">
        <v>2682</v>
      </c>
      <c r="M25" s="150" t="s">
        <v>2681</v>
      </c>
      <c r="N25" s="153" t="s">
        <v>2453</v>
      </c>
      <c r="O25" s="152" t="s">
        <v>31</v>
      </c>
    </row>
    <row r="26" spans="1:15" ht="159.94999999999999" customHeight="1">
      <c r="A26" s="136" t="s">
        <v>2684</v>
      </c>
      <c r="B26" s="134" t="s">
        <v>2685</v>
      </c>
      <c r="C26" s="142" t="s">
        <v>2455</v>
      </c>
      <c r="D26" s="142" t="s">
        <v>2686</v>
      </c>
      <c r="E26" s="142" t="s">
        <v>2687</v>
      </c>
      <c r="F26" s="154" t="s">
        <v>20</v>
      </c>
      <c r="G26" s="142" t="s">
        <v>2688</v>
      </c>
      <c r="H26" s="145" t="s">
        <v>2747</v>
      </c>
      <c r="I26" s="142" t="s">
        <v>2689</v>
      </c>
      <c r="J26" s="142" t="s">
        <v>2690</v>
      </c>
      <c r="K26" s="146" t="s">
        <v>2694</v>
      </c>
      <c r="L26" s="147" t="s">
        <v>2693</v>
      </c>
      <c r="M26" s="142" t="s">
        <v>2691</v>
      </c>
      <c r="N26" s="148" t="s">
        <v>2692</v>
      </c>
      <c r="O26" s="149" t="s">
        <v>19</v>
      </c>
    </row>
    <row r="27" spans="1:15" ht="159.94999999999999" customHeight="1">
      <c r="A27" s="138" t="s">
        <v>16</v>
      </c>
      <c r="B27" s="135" t="s">
        <v>2457</v>
      </c>
      <c r="C27" s="150" t="s">
        <v>2455</v>
      </c>
      <c r="D27" s="150" t="s">
        <v>2695</v>
      </c>
      <c r="E27" s="150" t="s">
        <v>2696</v>
      </c>
      <c r="F27" s="157" t="s">
        <v>19</v>
      </c>
      <c r="G27" s="150" t="s">
        <v>2697</v>
      </c>
      <c r="H27" s="145" t="s">
        <v>2748</v>
      </c>
      <c r="I27" s="150" t="s">
        <v>2698</v>
      </c>
      <c r="J27" s="150" t="s">
        <v>2699</v>
      </c>
      <c r="K27" s="146" t="s">
        <v>2702</v>
      </c>
      <c r="L27" s="147" t="s">
        <v>2701</v>
      </c>
      <c r="M27" s="150" t="s">
        <v>2700</v>
      </c>
      <c r="N27" s="153" t="s">
        <v>2453</v>
      </c>
      <c r="O27" s="152" t="s">
        <v>131</v>
      </c>
    </row>
    <row r="28" spans="1:15" ht="159.94999999999999" customHeight="1">
      <c r="A28" s="138" t="s">
        <v>16</v>
      </c>
      <c r="B28" s="134" t="s">
        <v>2703</v>
      </c>
      <c r="C28" s="142" t="s">
        <v>2455</v>
      </c>
      <c r="D28" s="142" t="s">
        <v>2704</v>
      </c>
      <c r="E28" s="142" t="s">
        <v>2705</v>
      </c>
      <c r="F28" s="157" t="s">
        <v>19</v>
      </c>
      <c r="G28" s="142" t="s">
        <v>2706</v>
      </c>
      <c r="H28" s="145" t="s">
        <v>2749</v>
      </c>
      <c r="I28" s="142" t="s">
        <v>2707</v>
      </c>
      <c r="J28" s="142" t="s">
        <v>2708</v>
      </c>
      <c r="K28" s="146" t="s">
        <v>2702</v>
      </c>
      <c r="L28" s="147" t="s">
        <v>2710</v>
      </c>
      <c r="M28" s="142" t="s">
        <v>2709</v>
      </c>
      <c r="N28" s="148" t="s">
        <v>2453</v>
      </c>
      <c r="O28" s="149" t="s">
        <v>20</v>
      </c>
    </row>
    <row r="29" spans="1:15" ht="159.94999999999999" customHeight="1">
      <c r="A29" s="278" t="s">
        <v>2486</v>
      </c>
      <c r="B29" s="279" t="s">
        <v>2711</v>
      </c>
      <c r="C29" s="280" t="s">
        <v>2455</v>
      </c>
      <c r="D29" s="280" t="s">
        <v>2712</v>
      </c>
      <c r="E29" s="280" t="s">
        <v>2713</v>
      </c>
      <c r="F29" s="281" t="s">
        <v>19</v>
      </c>
      <c r="G29" s="280" t="s">
        <v>2714</v>
      </c>
      <c r="H29" s="282" t="s">
        <v>2750</v>
      </c>
      <c r="I29" s="280" t="s">
        <v>2715</v>
      </c>
      <c r="J29" s="280" t="s">
        <v>2716</v>
      </c>
      <c r="K29" s="283" t="s">
        <v>2719</v>
      </c>
      <c r="L29" s="284" t="s">
        <v>2718</v>
      </c>
      <c r="M29" s="280" t="s">
        <v>2717</v>
      </c>
      <c r="N29" s="285" t="s">
        <v>2453</v>
      </c>
      <c r="O29" s="286" t="s">
        <v>131</v>
      </c>
    </row>
    <row r="30" spans="1:15" ht="135">
      <c r="A30" s="287" t="s">
        <v>1792</v>
      </c>
      <c r="B30" s="294" t="s">
        <v>4644</v>
      </c>
      <c r="C30" s="150" t="s">
        <v>4645</v>
      </c>
      <c r="D30" s="150" t="s">
        <v>4646</v>
      </c>
      <c r="E30" s="150" t="s">
        <v>4647</v>
      </c>
      <c r="F30" s="288" t="s">
        <v>20</v>
      </c>
      <c r="G30" s="150" t="s">
        <v>4648</v>
      </c>
      <c r="H30" s="145" t="s">
        <v>4649</v>
      </c>
      <c r="I30" s="150" t="s">
        <v>4650</v>
      </c>
      <c r="J30" s="150" t="s">
        <v>4651</v>
      </c>
      <c r="K30" s="146" t="s">
        <v>4652</v>
      </c>
      <c r="L30" s="147" t="s">
        <v>4653</v>
      </c>
      <c r="M30" s="150" t="s">
        <v>4654</v>
      </c>
      <c r="N30" s="153" t="s">
        <v>4655</v>
      </c>
      <c r="O30" s="289" t="s">
        <v>31</v>
      </c>
    </row>
    <row r="31" spans="1:15" ht="120">
      <c r="A31" s="287" t="s">
        <v>1792</v>
      </c>
      <c r="B31" s="294" t="s">
        <v>4656</v>
      </c>
      <c r="C31" s="150" t="s">
        <v>4645</v>
      </c>
      <c r="D31" s="150" t="s">
        <v>4657</v>
      </c>
      <c r="E31" s="150" t="s">
        <v>4658</v>
      </c>
      <c r="F31" s="290" t="s">
        <v>84</v>
      </c>
      <c r="G31" s="150" t="s">
        <v>4659</v>
      </c>
      <c r="H31" s="145" t="s">
        <v>4660</v>
      </c>
      <c r="I31" s="150" t="s">
        <v>4661</v>
      </c>
      <c r="J31" s="150" t="s">
        <v>4662</v>
      </c>
      <c r="K31" s="146" t="s">
        <v>4663</v>
      </c>
      <c r="L31" s="147" t="s">
        <v>4664</v>
      </c>
      <c r="M31" s="150" t="s">
        <v>4654</v>
      </c>
      <c r="N31" s="153" t="s">
        <v>4665</v>
      </c>
      <c r="O31" s="289" t="s">
        <v>31</v>
      </c>
    </row>
    <row r="32" spans="1:15" ht="120">
      <c r="A32" s="287" t="s">
        <v>1792</v>
      </c>
      <c r="B32" s="294" t="s">
        <v>4666</v>
      </c>
      <c r="C32" s="150" t="s">
        <v>4667</v>
      </c>
      <c r="D32" s="150" t="s">
        <v>4668</v>
      </c>
      <c r="E32" s="150" t="s">
        <v>4669</v>
      </c>
      <c r="F32" s="288" t="s">
        <v>20</v>
      </c>
      <c r="G32" s="150" t="s">
        <v>4670</v>
      </c>
      <c r="H32" s="145" t="s">
        <v>4671</v>
      </c>
      <c r="I32" s="150" t="s">
        <v>4672</v>
      </c>
      <c r="J32" s="150" t="s">
        <v>4673</v>
      </c>
      <c r="K32" s="146" t="s">
        <v>4674</v>
      </c>
      <c r="L32" s="147" t="s">
        <v>4675</v>
      </c>
      <c r="M32" s="150" t="s">
        <v>4676</v>
      </c>
      <c r="N32" s="153" t="s">
        <v>4677</v>
      </c>
      <c r="O32" s="289" t="s">
        <v>31</v>
      </c>
    </row>
    <row r="33" spans="1:15" ht="105">
      <c r="A33" s="287" t="s">
        <v>1792</v>
      </c>
      <c r="B33" s="294" t="s">
        <v>4678</v>
      </c>
      <c r="C33" s="150" t="s">
        <v>4645</v>
      </c>
      <c r="D33" s="150" t="s">
        <v>4679</v>
      </c>
      <c r="E33" s="150" t="s">
        <v>4680</v>
      </c>
      <c r="F33" s="290" t="s">
        <v>84</v>
      </c>
      <c r="G33" s="150" t="s">
        <v>4681</v>
      </c>
      <c r="H33" s="145" t="s">
        <v>4682</v>
      </c>
      <c r="I33" s="150" t="s">
        <v>4683</v>
      </c>
      <c r="J33" s="150" t="s">
        <v>4684</v>
      </c>
      <c r="K33" s="146" t="s">
        <v>4685</v>
      </c>
      <c r="L33" s="147" t="s">
        <v>4686</v>
      </c>
      <c r="M33" s="150" t="s">
        <v>4687</v>
      </c>
      <c r="N33" s="153" t="s">
        <v>4688</v>
      </c>
      <c r="O33" s="289" t="s">
        <v>89</v>
      </c>
    </row>
    <row r="34" spans="1:15" ht="90">
      <c r="A34" s="287" t="s">
        <v>1792</v>
      </c>
      <c r="B34" s="294" t="s">
        <v>4689</v>
      </c>
      <c r="C34" s="150" t="s">
        <v>4645</v>
      </c>
      <c r="D34" s="150" t="s">
        <v>4690</v>
      </c>
      <c r="E34" s="150" t="s">
        <v>4691</v>
      </c>
      <c r="F34" s="288" t="s">
        <v>20</v>
      </c>
      <c r="G34" s="150" t="s">
        <v>4692</v>
      </c>
      <c r="H34" s="145" t="s">
        <v>4693</v>
      </c>
      <c r="I34" s="150" t="s">
        <v>4694</v>
      </c>
      <c r="J34" s="150" t="s">
        <v>4695</v>
      </c>
      <c r="K34" s="146" t="s">
        <v>4696</v>
      </c>
      <c r="L34" s="147" t="s">
        <v>4697</v>
      </c>
      <c r="M34" s="150" t="s">
        <v>4687</v>
      </c>
      <c r="N34" s="153" t="s">
        <v>4698</v>
      </c>
      <c r="O34" s="289" t="s">
        <v>89</v>
      </c>
    </row>
    <row r="35" spans="1:15" ht="120">
      <c r="A35" s="291" t="s">
        <v>1804</v>
      </c>
      <c r="B35" s="294" t="s">
        <v>4699</v>
      </c>
      <c r="C35" s="150" t="s">
        <v>4667</v>
      </c>
      <c r="D35" s="150" t="s">
        <v>4700</v>
      </c>
      <c r="E35" s="150" t="s">
        <v>4701</v>
      </c>
      <c r="F35" s="290" t="s">
        <v>84</v>
      </c>
      <c r="G35" s="150" t="s">
        <v>4702</v>
      </c>
      <c r="H35" s="145" t="s">
        <v>4703</v>
      </c>
      <c r="I35" s="150" t="s">
        <v>4704</v>
      </c>
      <c r="J35" s="150" t="s">
        <v>4705</v>
      </c>
      <c r="K35" s="146" t="s">
        <v>4706</v>
      </c>
      <c r="L35" s="147" t="s">
        <v>4707</v>
      </c>
      <c r="M35" s="150" t="s">
        <v>4708</v>
      </c>
      <c r="N35" s="153" t="s">
        <v>4709</v>
      </c>
      <c r="O35" s="289" t="s">
        <v>31</v>
      </c>
    </row>
    <row r="36" spans="1:15" ht="150">
      <c r="A36" s="291" t="s">
        <v>1804</v>
      </c>
      <c r="B36" s="294" t="s">
        <v>4710</v>
      </c>
      <c r="C36" s="150" t="s">
        <v>4711</v>
      </c>
      <c r="D36" s="150" t="s">
        <v>4712</v>
      </c>
      <c r="E36" s="150" t="s">
        <v>4713</v>
      </c>
      <c r="F36" s="290" t="s">
        <v>84</v>
      </c>
      <c r="G36" s="150" t="s">
        <v>4714</v>
      </c>
      <c r="H36" s="145" t="s">
        <v>4715</v>
      </c>
      <c r="I36" s="150" t="s">
        <v>4716</v>
      </c>
      <c r="J36" s="150" t="s">
        <v>4717</v>
      </c>
      <c r="K36" s="146" t="s">
        <v>4718</v>
      </c>
      <c r="L36" s="147" t="s">
        <v>4719</v>
      </c>
      <c r="M36" s="150" t="s">
        <v>4720</v>
      </c>
      <c r="N36" s="153" t="s">
        <v>4721</v>
      </c>
      <c r="O36" s="289" t="s">
        <v>89</v>
      </c>
    </row>
    <row r="37" spans="1:15" ht="75">
      <c r="A37" s="291" t="s">
        <v>1804</v>
      </c>
      <c r="B37" s="294" t="s">
        <v>4722</v>
      </c>
      <c r="C37" s="150" t="s">
        <v>4723</v>
      </c>
      <c r="D37" s="150" t="s">
        <v>4724</v>
      </c>
      <c r="E37" s="150" t="s">
        <v>4725</v>
      </c>
      <c r="F37" s="288" t="s">
        <v>20</v>
      </c>
      <c r="G37" s="150" t="s">
        <v>4726</v>
      </c>
      <c r="H37" s="145" t="s">
        <v>4727</v>
      </c>
      <c r="I37" s="150" t="s">
        <v>4728</v>
      </c>
      <c r="J37" s="150" t="s">
        <v>4729</v>
      </c>
      <c r="K37" s="146" t="s">
        <v>4730</v>
      </c>
      <c r="L37" s="147" t="s">
        <v>4731</v>
      </c>
      <c r="M37" s="150" t="s">
        <v>4732</v>
      </c>
      <c r="N37" s="153" t="s">
        <v>4733</v>
      </c>
      <c r="O37" s="289" t="s">
        <v>89</v>
      </c>
    </row>
    <row r="38" spans="1:15" ht="120">
      <c r="A38" s="291" t="s">
        <v>1804</v>
      </c>
      <c r="B38" s="294" t="s">
        <v>4734</v>
      </c>
      <c r="C38" s="150" t="s">
        <v>4735</v>
      </c>
      <c r="D38" s="150" t="s">
        <v>4736</v>
      </c>
      <c r="E38" s="150" t="s">
        <v>4737</v>
      </c>
      <c r="F38" s="290" t="s">
        <v>84</v>
      </c>
      <c r="G38" s="150" t="s">
        <v>4738</v>
      </c>
      <c r="H38" s="145" t="s">
        <v>4739</v>
      </c>
      <c r="I38" s="150" t="s">
        <v>4740</v>
      </c>
      <c r="J38" s="150" t="s">
        <v>4741</v>
      </c>
      <c r="K38" s="146" t="s">
        <v>4742</v>
      </c>
      <c r="L38" s="147" t="s">
        <v>4743</v>
      </c>
      <c r="M38" s="150" t="s">
        <v>4744</v>
      </c>
      <c r="N38" s="153" t="s">
        <v>4745</v>
      </c>
      <c r="O38" s="289" t="s">
        <v>89</v>
      </c>
    </row>
    <row r="39" spans="1:15" ht="135">
      <c r="A39" s="292" t="s">
        <v>1798</v>
      </c>
      <c r="B39" s="294" t="s">
        <v>4746</v>
      </c>
      <c r="C39" s="150" t="s">
        <v>4723</v>
      </c>
      <c r="D39" s="150" t="s">
        <v>4747</v>
      </c>
      <c r="E39" s="150" t="s">
        <v>4748</v>
      </c>
      <c r="F39" s="288" t="s">
        <v>20</v>
      </c>
      <c r="G39" s="150" t="s">
        <v>4749</v>
      </c>
      <c r="H39" s="145" t="s">
        <v>4750</v>
      </c>
      <c r="I39" s="150" t="s">
        <v>4751</v>
      </c>
      <c r="J39" s="150" t="s">
        <v>4752</v>
      </c>
      <c r="K39" s="146" t="s">
        <v>4753</v>
      </c>
      <c r="L39" s="147" t="s">
        <v>4754</v>
      </c>
      <c r="M39" s="150" t="s">
        <v>4755</v>
      </c>
      <c r="N39" s="153" t="s">
        <v>4756</v>
      </c>
      <c r="O39" s="289" t="s">
        <v>31</v>
      </c>
    </row>
    <row r="40" spans="1:15" ht="135">
      <c r="A40" s="292" t="s">
        <v>1798</v>
      </c>
      <c r="B40" s="294" t="s">
        <v>4757</v>
      </c>
      <c r="C40" s="150" t="s">
        <v>2498</v>
      </c>
      <c r="D40" s="150" t="s">
        <v>4758</v>
      </c>
      <c r="E40" s="150" t="s">
        <v>4759</v>
      </c>
      <c r="F40" s="288" t="s">
        <v>20</v>
      </c>
      <c r="G40" s="150" t="s">
        <v>4760</v>
      </c>
      <c r="H40" s="145" t="s">
        <v>4761</v>
      </c>
      <c r="I40" s="150" t="s">
        <v>4762</v>
      </c>
      <c r="J40" s="150" t="s">
        <v>4763</v>
      </c>
      <c r="K40" s="146" t="s">
        <v>4764</v>
      </c>
      <c r="L40" s="147" t="s">
        <v>4765</v>
      </c>
      <c r="M40" s="150" t="s">
        <v>4766</v>
      </c>
      <c r="N40" s="153" t="s">
        <v>4767</v>
      </c>
      <c r="O40" s="289" t="s">
        <v>89</v>
      </c>
    </row>
    <row r="41" spans="1:15" ht="120">
      <c r="A41" s="291" t="s">
        <v>4768</v>
      </c>
      <c r="B41" s="294" t="s">
        <v>4769</v>
      </c>
      <c r="C41" s="150" t="s">
        <v>2498</v>
      </c>
      <c r="D41" s="150" t="s">
        <v>4770</v>
      </c>
      <c r="E41" s="150" t="s">
        <v>4771</v>
      </c>
      <c r="F41" s="290" t="s">
        <v>84</v>
      </c>
      <c r="G41" s="150" t="s">
        <v>4772</v>
      </c>
      <c r="H41" s="145" t="s">
        <v>4773</v>
      </c>
      <c r="I41" s="150" t="s">
        <v>4774</v>
      </c>
      <c r="J41" s="150" t="s">
        <v>4775</v>
      </c>
      <c r="K41" s="146" t="s">
        <v>4776</v>
      </c>
      <c r="L41" s="147" t="s">
        <v>4777</v>
      </c>
      <c r="M41" s="150" t="s">
        <v>4778</v>
      </c>
      <c r="N41" s="153" t="s">
        <v>4779</v>
      </c>
      <c r="O41" s="289" t="s">
        <v>89</v>
      </c>
    </row>
    <row r="42" spans="1:15" ht="135">
      <c r="A42" s="293" t="s">
        <v>4780</v>
      </c>
      <c r="B42" s="294" t="s">
        <v>4781</v>
      </c>
      <c r="C42" s="150" t="s">
        <v>4723</v>
      </c>
      <c r="D42" s="150" t="s">
        <v>4782</v>
      </c>
      <c r="E42" s="150" t="s">
        <v>4783</v>
      </c>
      <c r="F42" s="288" t="s">
        <v>20</v>
      </c>
      <c r="G42" s="150" t="s">
        <v>4784</v>
      </c>
      <c r="H42" s="145" t="s">
        <v>4785</v>
      </c>
      <c r="I42" s="150" t="s">
        <v>4786</v>
      </c>
      <c r="J42" s="150" t="s">
        <v>4787</v>
      </c>
      <c r="K42" s="146" t="s">
        <v>4788</v>
      </c>
      <c r="L42" s="147" t="s">
        <v>4789</v>
      </c>
      <c r="M42" s="150" t="s">
        <v>4790</v>
      </c>
      <c r="N42" s="153" t="s">
        <v>4791</v>
      </c>
      <c r="O42" s="289" t="s">
        <v>19</v>
      </c>
    </row>
    <row r="43" spans="1:15" ht="120">
      <c r="A43" s="287" t="s">
        <v>1742</v>
      </c>
      <c r="B43" s="294" t="s">
        <v>4792</v>
      </c>
      <c r="C43" s="150" t="s">
        <v>4645</v>
      </c>
      <c r="D43" s="150" t="s">
        <v>4793</v>
      </c>
      <c r="E43" s="150" t="s">
        <v>4794</v>
      </c>
      <c r="F43" s="290" t="s">
        <v>84</v>
      </c>
      <c r="G43" s="150" t="s">
        <v>4795</v>
      </c>
      <c r="H43" s="145" t="s">
        <v>4796</v>
      </c>
      <c r="I43" s="150" t="s">
        <v>4797</v>
      </c>
      <c r="J43" s="150" t="s">
        <v>4798</v>
      </c>
      <c r="K43" s="146" t="s">
        <v>4799</v>
      </c>
      <c r="L43" s="147" t="s">
        <v>4800</v>
      </c>
      <c r="M43" s="150" t="s">
        <v>4801</v>
      </c>
      <c r="N43" s="153" t="s">
        <v>4802</v>
      </c>
      <c r="O43" s="289" t="s">
        <v>31</v>
      </c>
    </row>
    <row r="44" spans="1:15" ht="105">
      <c r="A44" s="295" t="s">
        <v>1798</v>
      </c>
      <c r="B44" s="294" t="s">
        <v>4803</v>
      </c>
      <c r="C44" s="150" t="s">
        <v>4804</v>
      </c>
      <c r="D44" s="150" t="s">
        <v>4805</v>
      </c>
      <c r="E44" s="150" t="s">
        <v>4806</v>
      </c>
      <c r="F44" s="290" t="s">
        <v>84</v>
      </c>
      <c r="G44" s="150" t="s">
        <v>4807</v>
      </c>
      <c r="H44" s="145" t="s">
        <v>4808</v>
      </c>
      <c r="I44" s="150" t="s">
        <v>4809</v>
      </c>
      <c r="J44" s="150" t="s">
        <v>4810</v>
      </c>
      <c r="K44" s="146" t="s">
        <v>4811</v>
      </c>
      <c r="L44" s="147" t="s">
        <v>4812</v>
      </c>
      <c r="M44" s="150" t="s">
        <v>4813</v>
      </c>
      <c r="N44" s="153" t="s">
        <v>4814</v>
      </c>
      <c r="O44" s="289" t="s">
        <v>89</v>
      </c>
    </row>
  </sheetData>
  <hyperlinks>
    <hyperlink ref="N3" r:id="rId1" xr:uid="{BC1B2E6E-2765-45A0-89A9-46C43A866E08}"/>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D1B96-F547-4BDA-BC3F-300260F105BA}">
  <sheetPr>
    <tabColor theme="4" tint="-0.249977111117893"/>
  </sheetPr>
  <dimension ref="A1:J108"/>
  <sheetViews>
    <sheetView zoomScale="175" zoomScaleNormal="175" workbookViewId="0">
      <pane ySplit="3" topLeftCell="A22" activePane="bottomLeft" state="frozen"/>
      <selection pane="bottomLeft" sqref="A1:J1"/>
    </sheetView>
  </sheetViews>
  <sheetFormatPr defaultRowHeight="15"/>
  <cols>
    <col min="1" max="1" width="6.7109375" customWidth="1"/>
    <col min="2" max="2" width="29.28515625" customWidth="1"/>
    <col min="3" max="3" width="37.28515625" customWidth="1"/>
    <col min="4" max="4" width="24" customWidth="1"/>
    <col min="5" max="5" width="32" customWidth="1"/>
    <col min="6" max="6" width="73.28515625" customWidth="1"/>
    <col min="7" max="7" width="40" customWidth="1"/>
    <col min="8" max="8" width="32" customWidth="1"/>
    <col min="9" max="9" width="56" customWidth="1"/>
    <col min="10" max="10" width="50.7109375" customWidth="1"/>
  </cols>
  <sheetData>
    <row r="1" spans="1:10" ht="36" customHeight="1">
      <c r="A1" s="308" t="s">
        <v>2751</v>
      </c>
      <c r="B1" s="309"/>
      <c r="C1" s="309"/>
      <c r="D1" s="309"/>
      <c r="E1" s="309"/>
      <c r="F1" s="309"/>
      <c r="G1" s="309"/>
      <c r="H1" s="309"/>
      <c r="I1" s="309"/>
      <c r="J1" s="309"/>
    </row>
    <row r="2" spans="1:10" ht="39.950000000000003" customHeight="1">
      <c r="A2" s="310" t="s">
        <v>2752</v>
      </c>
      <c r="B2" s="309"/>
      <c r="C2" s="309"/>
      <c r="D2" s="309"/>
      <c r="E2" s="309"/>
      <c r="F2" s="309"/>
      <c r="G2" s="309"/>
      <c r="H2" s="309"/>
      <c r="I2" s="309"/>
      <c r="J2" s="309"/>
    </row>
    <row r="3" spans="1:10" ht="32.1" customHeight="1">
      <c r="A3" s="158" t="s">
        <v>1728</v>
      </c>
      <c r="B3" s="158" t="s">
        <v>0</v>
      </c>
      <c r="C3" s="158" t="s">
        <v>252</v>
      </c>
      <c r="D3" s="158" t="s">
        <v>251</v>
      </c>
      <c r="E3" s="158" t="s">
        <v>2121</v>
      </c>
      <c r="F3" s="158" t="s">
        <v>6</v>
      </c>
      <c r="G3" s="158" t="s">
        <v>2753</v>
      </c>
      <c r="H3" s="158" t="s">
        <v>2754</v>
      </c>
      <c r="I3" s="158" t="s">
        <v>2755</v>
      </c>
      <c r="J3" s="158" t="s">
        <v>2124</v>
      </c>
    </row>
    <row r="4" spans="1:10" ht="75" customHeight="1">
      <c r="A4" s="159">
        <v>1</v>
      </c>
      <c r="B4" s="160" t="s">
        <v>2756</v>
      </c>
      <c r="C4" s="269" t="s">
        <v>2765</v>
      </c>
      <c r="D4" s="162" t="s">
        <v>2758</v>
      </c>
      <c r="E4" s="162" t="s">
        <v>2383</v>
      </c>
      <c r="F4" s="162" t="s">
        <v>2766</v>
      </c>
      <c r="G4" s="163" t="s">
        <v>2767</v>
      </c>
      <c r="H4" s="162" t="s">
        <v>2768</v>
      </c>
      <c r="I4" s="162" t="s">
        <v>2769</v>
      </c>
      <c r="J4" s="164" t="s">
        <v>2770</v>
      </c>
    </row>
    <row r="5" spans="1:10" ht="75" customHeight="1">
      <c r="A5" s="165">
        <v>2</v>
      </c>
      <c r="B5" s="160" t="s">
        <v>2756</v>
      </c>
      <c r="C5" s="166" t="s">
        <v>2778</v>
      </c>
      <c r="D5" s="167" t="s">
        <v>2779</v>
      </c>
      <c r="E5" s="167" t="s">
        <v>2383</v>
      </c>
      <c r="F5" s="167" t="s">
        <v>2780</v>
      </c>
      <c r="G5" s="168" t="s">
        <v>2781</v>
      </c>
      <c r="H5" s="167" t="s">
        <v>2768</v>
      </c>
      <c r="I5" s="167" t="s">
        <v>2782</v>
      </c>
      <c r="J5" s="169" t="s">
        <v>2783</v>
      </c>
    </row>
    <row r="6" spans="1:10" ht="75" customHeight="1">
      <c r="A6" s="159">
        <v>3</v>
      </c>
      <c r="B6" s="160" t="s">
        <v>2756</v>
      </c>
      <c r="C6" s="161" t="s">
        <v>3099</v>
      </c>
      <c r="D6" s="162" t="s">
        <v>2758</v>
      </c>
      <c r="E6" s="162" t="s">
        <v>2383</v>
      </c>
      <c r="F6" s="162" t="s">
        <v>3100</v>
      </c>
      <c r="G6" s="163" t="s">
        <v>3101</v>
      </c>
      <c r="H6" s="162" t="s">
        <v>2856</v>
      </c>
      <c r="I6" s="162" t="s">
        <v>3102</v>
      </c>
      <c r="J6" s="164" t="s">
        <v>3103</v>
      </c>
    </row>
    <row r="7" spans="1:10" ht="75" customHeight="1">
      <c r="A7" s="165">
        <v>4</v>
      </c>
      <c r="B7" s="160" t="s">
        <v>2756</v>
      </c>
      <c r="C7" s="269" t="s">
        <v>2757</v>
      </c>
      <c r="D7" s="167" t="s">
        <v>2758</v>
      </c>
      <c r="E7" s="167" t="s">
        <v>2759</v>
      </c>
      <c r="F7" s="167" t="s">
        <v>2760</v>
      </c>
      <c r="G7" s="168" t="s">
        <v>2761</v>
      </c>
      <c r="H7" s="167" t="s">
        <v>2762</v>
      </c>
      <c r="I7" s="167" t="s">
        <v>2763</v>
      </c>
      <c r="J7" s="169" t="s">
        <v>2764</v>
      </c>
    </row>
    <row r="8" spans="1:10" ht="75" customHeight="1">
      <c r="A8" s="159">
        <v>5</v>
      </c>
      <c r="B8" s="160" t="s">
        <v>2756</v>
      </c>
      <c r="C8" s="161" t="s">
        <v>2771</v>
      </c>
      <c r="D8" s="162" t="s">
        <v>2758</v>
      </c>
      <c r="E8" s="162" t="s">
        <v>2772</v>
      </c>
      <c r="F8" s="162" t="s">
        <v>2773</v>
      </c>
      <c r="G8" s="163" t="s">
        <v>2774</v>
      </c>
      <c r="H8" s="162" t="s">
        <v>2775</v>
      </c>
      <c r="I8" s="162" t="s">
        <v>2776</v>
      </c>
      <c r="J8" s="164" t="s">
        <v>2777</v>
      </c>
    </row>
    <row r="9" spans="1:10" ht="75" customHeight="1">
      <c r="A9" s="165">
        <v>6</v>
      </c>
      <c r="B9" s="170" t="s">
        <v>2756</v>
      </c>
      <c r="C9" s="269" t="s">
        <v>2784</v>
      </c>
      <c r="D9" s="167" t="s">
        <v>2785</v>
      </c>
      <c r="E9" s="167" t="s">
        <v>2786</v>
      </c>
      <c r="F9" s="167" t="s">
        <v>2787</v>
      </c>
      <c r="G9" s="168" t="s">
        <v>2788</v>
      </c>
      <c r="H9" s="167" t="s">
        <v>2789</v>
      </c>
      <c r="I9" s="167" t="s">
        <v>2790</v>
      </c>
      <c r="J9" s="169" t="s">
        <v>2791</v>
      </c>
    </row>
    <row r="10" spans="1:10" ht="75" customHeight="1">
      <c r="A10" s="159">
        <v>7</v>
      </c>
      <c r="B10" s="170" t="s">
        <v>3326</v>
      </c>
      <c r="C10" s="166" t="s">
        <v>3327</v>
      </c>
      <c r="D10" s="162" t="s">
        <v>3328</v>
      </c>
      <c r="E10" s="162" t="s">
        <v>3329</v>
      </c>
      <c r="F10" s="162" t="s">
        <v>3330</v>
      </c>
      <c r="G10" s="163" t="s">
        <v>2906</v>
      </c>
      <c r="H10" s="162" t="s">
        <v>3331</v>
      </c>
      <c r="I10" s="162" t="s">
        <v>3332</v>
      </c>
      <c r="J10" s="164" t="s">
        <v>3333</v>
      </c>
    </row>
    <row r="11" spans="1:10" ht="75" customHeight="1">
      <c r="A11" s="165">
        <v>8</v>
      </c>
      <c r="B11" s="170" t="s">
        <v>2792</v>
      </c>
      <c r="C11" s="166" t="s">
        <v>2809</v>
      </c>
      <c r="D11" s="167" t="s">
        <v>2810</v>
      </c>
      <c r="E11" s="167" t="s">
        <v>2811</v>
      </c>
      <c r="F11" s="167" t="s">
        <v>2812</v>
      </c>
      <c r="G11" s="168" t="s">
        <v>2813</v>
      </c>
      <c r="H11" s="167" t="s">
        <v>2814</v>
      </c>
      <c r="I11" s="167" t="s">
        <v>2815</v>
      </c>
      <c r="J11" s="169" t="s">
        <v>2816</v>
      </c>
    </row>
    <row r="12" spans="1:10" ht="75" customHeight="1">
      <c r="A12" s="159">
        <v>9</v>
      </c>
      <c r="B12" s="170" t="s">
        <v>2792</v>
      </c>
      <c r="C12" s="166" t="s">
        <v>2824</v>
      </c>
      <c r="D12" s="162" t="s">
        <v>2810</v>
      </c>
      <c r="E12" s="162" t="s">
        <v>2825</v>
      </c>
      <c r="F12" s="162" t="s">
        <v>2826</v>
      </c>
      <c r="G12" s="163" t="s">
        <v>2827</v>
      </c>
      <c r="H12" s="162" t="s">
        <v>2828</v>
      </c>
      <c r="I12" s="162" t="s">
        <v>2829</v>
      </c>
      <c r="J12" s="164" t="s">
        <v>2830</v>
      </c>
    </row>
    <row r="13" spans="1:10" ht="75" customHeight="1">
      <c r="A13" s="165">
        <v>10</v>
      </c>
      <c r="B13" s="170" t="s">
        <v>2792</v>
      </c>
      <c r="C13" s="161" t="s">
        <v>2817</v>
      </c>
      <c r="D13" s="167" t="s">
        <v>2794</v>
      </c>
      <c r="E13" s="167" t="s">
        <v>2818</v>
      </c>
      <c r="F13" s="167" t="s">
        <v>2819</v>
      </c>
      <c r="G13" s="168" t="s">
        <v>2820</v>
      </c>
      <c r="H13" s="167" t="s">
        <v>2821</v>
      </c>
      <c r="I13" s="167" t="s">
        <v>2822</v>
      </c>
      <c r="J13" s="169" t="s">
        <v>2823</v>
      </c>
    </row>
    <row r="14" spans="1:10" ht="75" customHeight="1">
      <c r="A14" s="159">
        <v>11</v>
      </c>
      <c r="B14" s="171" t="s">
        <v>2792</v>
      </c>
      <c r="C14" s="166" t="s">
        <v>3104</v>
      </c>
      <c r="D14" s="162" t="s">
        <v>2794</v>
      </c>
      <c r="E14" s="162" t="s">
        <v>2825</v>
      </c>
      <c r="F14" s="162" t="s">
        <v>3105</v>
      </c>
      <c r="G14" s="163" t="s">
        <v>3106</v>
      </c>
      <c r="H14" s="162" t="s">
        <v>3107</v>
      </c>
      <c r="I14" s="162" t="s">
        <v>3108</v>
      </c>
      <c r="J14" s="164" t="s">
        <v>3109</v>
      </c>
    </row>
    <row r="15" spans="1:10" ht="75" customHeight="1">
      <c r="A15" s="165">
        <v>12</v>
      </c>
      <c r="B15" s="171" t="s">
        <v>2792</v>
      </c>
      <c r="C15" s="269" t="s">
        <v>2801</v>
      </c>
      <c r="D15" s="167" t="s">
        <v>2802</v>
      </c>
      <c r="E15" s="167" t="s">
        <v>2803</v>
      </c>
      <c r="F15" s="167" t="s">
        <v>2804</v>
      </c>
      <c r="G15" s="168" t="s">
        <v>2805</v>
      </c>
      <c r="H15" s="167" t="s">
        <v>2806</v>
      </c>
      <c r="I15" s="167" t="s">
        <v>2807</v>
      </c>
      <c r="J15" s="169" t="s">
        <v>2808</v>
      </c>
    </row>
    <row r="16" spans="1:10" ht="75" customHeight="1">
      <c r="A16" s="159">
        <v>13</v>
      </c>
      <c r="B16" s="171" t="s">
        <v>2792</v>
      </c>
      <c r="C16" s="269" t="s">
        <v>2793</v>
      </c>
      <c r="D16" s="162" t="s">
        <v>2794</v>
      </c>
      <c r="E16" s="162" t="s">
        <v>2795</v>
      </c>
      <c r="F16" s="162" t="s">
        <v>2796</v>
      </c>
      <c r="G16" s="163" t="s">
        <v>2797</v>
      </c>
      <c r="H16" s="162" t="s">
        <v>2798</v>
      </c>
      <c r="I16" s="162" t="s">
        <v>2799</v>
      </c>
      <c r="J16" s="164" t="s">
        <v>2800</v>
      </c>
    </row>
    <row r="17" spans="1:10" ht="75" customHeight="1">
      <c r="A17" s="165">
        <v>14</v>
      </c>
      <c r="B17" s="171" t="s">
        <v>2831</v>
      </c>
      <c r="C17" s="161" t="s">
        <v>2859</v>
      </c>
      <c r="D17" s="167" t="s">
        <v>2841</v>
      </c>
      <c r="E17" s="167" t="s">
        <v>2825</v>
      </c>
      <c r="F17" s="167" t="s">
        <v>2860</v>
      </c>
      <c r="G17" s="168" t="s">
        <v>2861</v>
      </c>
      <c r="H17" s="167" t="s">
        <v>2862</v>
      </c>
      <c r="I17" s="167" t="s">
        <v>2863</v>
      </c>
      <c r="J17" s="169" t="s">
        <v>2864</v>
      </c>
    </row>
    <row r="18" spans="1:10" ht="75" customHeight="1">
      <c r="A18" s="159">
        <v>15</v>
      </c>
      <c r="B18" s="171" t="s">
        <v>2831</v>
      </c>
      <c r="C18" s="161" t="s">
        <v>2847</v>
      </c>
      <c r="D18" s="162" t="s">
        <v>2841</v>
      </c>
      <c r="E18" s="162" t="s">
        <v>2127</v>
      </c>
      <c r="F18" s="162" t="s">
        <v>2848</v>
      </c>
      <c r="G18" s="163" t="s">
        <v>2843</v>
      </c>
      <c r="H18" s="162" t="s">
        <v>2849</v>
      </c>
      <c r="I18" s="162" t="s">
        <v>2850</v>
      </c>
      <c r="J18" s="164" t="s">
        <v>2851</v>
      </c>
    </row>
    <row r="19" spans="1:10" ht="75" customHeight="1">
      <c r="A19" s="165">
        <v>16</v>
      </c>
      <c r="B19" s="171" t="s">
        <v>2831</v>
      </c>
      <c r="C19" s="166" t="s">
        <v>2865</v>
      </c>
      <c r="D19" s="167" t="s">
        <v>2866</v>
      </c>
      <c r="E19" s="167" t="s">
        <v>2383</v>
      </c>
      <c r="F19" s="167" t="s">
        <v>2867</v>
      </c>
      <c r="G19" s="168" t="s">
        <v>2868</v>
      </c>
      <c r="H19" s="167" t="s">
        <v>2869</v>
      </c>
      <c r="I19" s="167" t="s">
        <v>2870</v>
      </c>
      <c r="J19" s="169" t="s">
        <v>2871</v>
      </c>
    </row>
    <row r="20" spans="1:10" ht="75" customHeight="1">
      <c r="A20" s="159">
        <v>17</v>
      </c>
      <c r="B20" s="171" t="s">
        <v>2831</v>
      </c>
      <c r="C20" s="166" t="s">
        <v>2840</v>
      </c>
      <c r="D20" s="162" t="s">
        <v>2841</v>
      </c>
      <c r="E20" s="162" t="s">
        <v>2127</v>
      </c>
      <c r="F20" s="162" t="s">
        <v>2842</v>
      </c>
      <c r="G20" s="163" t="s">
        <v>2843</v>
      </c>
      <c r="H20" s="162" t="s">
        <v>2844</v>
      </c>
      <c r="I20" s="162" t="s">
        <v>2845</v>
      </c>
      <c r="J20" s="164" t="s">
        <v>2846</v>
      </c>
    </row>
    <row r="21" spans="1:10" ht="75" customHeight="1">
      <c r="A21" s="165">
        <v>18</v>
      </c>
      <c r="B21" s="172" t="s">
        <v>2831</v>
      </c>
      <c r="C21" s="269" t="s">
        <v>2832</v>
      </c>
      <c r="D21" s="167" t="s">
        <v>2833</v>
      </c>
      <c r="E21" s="167" t="s">
        <v>2834</v>
      </c>
      <c r="F21" s="167" t="s">
        <v>2835</v>
      </c>
      <c r="G21" s="168" t="s">
        <v>2836</v>
      </c>
      <c r="H21" s="167" t="s">
        <v>2837</v>
      </c>
      <c r="I21" s="167" t="s">
        <v>2838</v>
      </c>
      <c r="J21" s="169" t="s">
        <v>2839</v>
      </c>
    </row>
    <row r="22" spans="1:10" ht="75" customHeight="1">
      <c r="A22" s="159">
        <v>19</v>
      </c>
      <c r="B22" s="172" t="s">
        <v>2831</v>
      </c>
      <c r="C22" s="269" t="s">
        <v>2872</v>
      </c>
      <c r="D22" s="162" t="s">
        <v>2873</v>
      </c>
      <c r="E22" s="162" t="s">
        <v>2383</v>
      </c>
      <c r="F22" s="162" t="s">
        <v>2874</v>
      </c>
      <c r="G22" s="163" t="s">
        <v>2875</v>
      </c>
      <c r="H22" s="162" t="s">
        <v>2876</v>
      </c>
      <c r="I22" s="162" t="s">
        <v>2877</v>
      </c>
      <c r="J22" s="164" t="s">
        <v>2878</v>
      </c>
    </row>
    <row r="23" spans="1:10" ht="75" customHeight="1">
      <c r="A23" s="165">
        <v>20</v>
      </c>
      <c r="B23" s="173" t="s">
        <v>2831</v>
      </c>
      <c r="C23" s="269" t="s">
        <v>2852</v>
      </c>
      <c r="D23" s="167" t="s">
        <v>2853</v>
      </c>
      <c r="E23" s="167" t="s">
        <v>2825</v>
      </c>
      <c r="F23" s="167" t="s">
        <v>2854</v>
      </c>
      <c r="G23" s="168" t="s">
        <v>2855</v>
      </c>
      <c r="H23" s="167" t="s">
        <v>2856</v>
      </c>
      <c r="I23" s="167" t="s">
        <v>2857</v>
      </c>
      <c r="J23" s="169" t="s">
        <v>2858</v>
      </c>
    </row>
    <row r="24" spans="1:10" ht="75" customHeight="1">
      <c r="A24" s="159">
        <v>21</v>
      </c>
      <c r="B24" s="173" t="s">
        <v>2879</v>
      </c>
      <c r="C24" s="269" t="s">
        <v>4463</v>
      </c>
      <c r="D24" s="162" t="s">
        <v>2866</v>
      </c>
      <c r="E24" s="162" t="s">
        <v>2895</v>
      </c>
      <c r="F24" s="162" t="s">
        <v>4464</v>
      </c>
      <c r="G24" s="163" t="s">
        <v>4465</v>
      </c>
      <c r="H24" s="162" t="s">
        <v>4466</v>
      </c>
      <c r="I24" s="162" t="s">
        <v>4467</v>
      </c>
      <c r="J24" s="164" t="s">
        <v>4468</v>
      </c>
    </row>
    <row r="25" spans="1:10" ht="75" customHeight="1">
      <c r="A25" s="165">
        <v>22</v>
      </c>
      <c r="B25" s="173" t="s">
        <v>2879</v>
      </c>
      <c r="C25" s="269" t="s">
        <v>2880</v>
      </c>
      <c r="D25" s="167" t="s">
        <v>2866</v>
      </c>
      <c r="E25" s="167" t="s">
        <v>2881</v>
      </c>
      <c r="F25" s="167" t="s">
        <v>2882</v>
      </c>
      <c r="G25" s="168" t="s">
        <v>2883</v>
      </c>
      <c r="H25" s="167" t="s">
        <v>2884</v>
      </c>
      <c r="I25" s="167" t="s">
        <v>2885</v>
      </c>
      <c r="J25" s="169" t="s">
        <v>2886</v>
      </c>
    </row>
    <row r="26" spans="1:10" ht="75" customHeight="1">
      <c r="A26" s="159">
        <v>23</v>
      </c>
      <c r="B26" s="173" t="s">
        <v>2879</v>
      </c>
      <c r="C26" s="161" t="s">
        <v>2887</v>
      </c>
      <c r="D26" s="162" t="s">
        <v>2866</v>
      </c>
      <c r="E26" s="162" t="s">
        <v>2127</v>
      </c>
      <c r="F26" s="162" t="s">
        <v>2888</v>
      </c>
      <c r="G26" s="163" t="s">
        <v>2889</v>
      </c>
      <c r="H26" s="162" t="s">
        <v>2890</v>
      </c>
      <c r="I26" s="162" t="s">
        <v>2891</v>
      </c>
      <c r="J26" s="164" t="s">
        <v>2892</v>
      </c>
    </row>
    <row r="27" spans="1:10" ht="75" customHeight="1">
      <c r="A27" s="165">
        <v>24</v>
      </c>
      <c r="B27" s="174" t="s">
        <v>2893</v>
      </c>
      <c r="C27" s="166" t="s">
        <v>2894</v>
      </c>
      <c r="D27" s="167" t="s">
        <v>2866</v>
      </c>
      <c r="E27" s="167" t="s">
        <v>2895</v>
      </c>
      <c r="F27" s="167" t="s">
        <v>2896</v>
      </c>
      <c r="G27" s="168" t="s">
        <v>2897</v>
      </c>
      <c r="H27" s="167" t="s">
        <v>2898</v>
      </c>
      <c r="I27" s="167" t="s">
        <v>2899</v>
      </c>
      <c r="J27" s="169" t="s">
        <v>2900</v>
      </c>
    </row>
    <row r="28" spans="1:10" ht="75" customHeight="1">
      <c r="A28" s="159">
        <v>25</v>
      </c>
      <c r="B28" s="174" t="s">
        <v>2893</v>
      </c>
      <c r="C28" s="269" t="s">
        <v>2915</v>
      </c>
      <c r="D28" s="162" t="s">
        <v>2916</v>
      </c>
      <c r="E28" s="162" t="s">
        <v>2127</v>
      </c>
      <c r="F28" s="162" t="s">
        <v>2917</v>
      </c>
      <c r="G28" s="163" t="s">
        <v>2918</v>
      </c>
      <c r="H28" s="162" t="s">
        <v>2919</v>
      </c>
      <c r="I28" s="162" t="s">
        <v>2920</v>
      </c>
      <c r="J28" s="164" t="s">
        <v>2921</v>
      </c>
    </row>
    <row r="29" spans="1:10" ht="75" customHeight="1">
      <c r="A29" s="165">
        <v>26</v>
      </c>
      <c r="B29" s="174" t="s">
        <v>2893</v>
      </c>
      <c r="C29" s="161" t="s">
        <v>2901</v>
      </c>
      <c r="D29" s="167" t="s">
        <v>2902</v>
      </c>
      <c r="E29" s="167" t="s">
        <v>2127</v>
      </c>
      <c r="F29" s="167" t="s">
        <v>2903</v>
      </c>
      <c r="G29" s="168" t="s">
        <v>2904</v>
      </c>
      <c r="H29" s="167" t="s">
        <v>2905</v>
      </c>
      <c r="I29" s="167" t="s">
        <v>2906</v>
      </c>
      <c r="J29" s="169" t="s">
        <v>2907</v>
      </c>
    </row>
    <row r="30" spans="1:10" ht="75" customHeight="1">
      <c r="A30" s="159">
        <v>27</v>
      </c>
      <c r="B30" s="174" t="s">
        <v>2893</v>
      </c>
      <c r="C30" s="269" t="s">
        <v>2908</v>
      </c>
      <c r="D30" s="162" t="s">
        <v>2909</v>
      </c>
      <c r="E30" s="162" t="s">
        <v>2127</v>
      </c>
      <c r="F30" s="162" t="s">
        <v>2910</v>
      </c>
      <c r="G30" s="163" t="s">
        <v>2911</v>
      </c>
      <c r="H30" s="162" t="s">
        <v>2912</v>
      </c>
      <c r="I30" s="162" t="s">
        <v>2913</v>
      </c>
      <c r="J30" s="164" t="s">
        <v>2914</v>
      </c>
    </row>
    <row r="31" spans="1:10" ht="75" customHeight="1">
      <c r="A31" s="165">
        <v>28</v>
      </c>
      <c r="B31" s="175" t="s">
        <v>2893</v>
      </c>
      <c r="C31" s="269" t="s">
        <v>4451</v>
      </c>
      <c r="D31" s="167" t="s">
        <v>2866</v>
      </c>
      <c r="E31" s="167" t="s">
        <v>3123</v>
      </c>
      <c r="F31" s="167" t="s">
        <v>4452</v>
      </c>
      <c r="G31" s="168" t="s">
        <v>4453</v>
      </c>
      <c r="H31" s="167" t="s">
        <v>4454</v>
      </c>
      <c r="I31" s="167" t="s">
        <v>4455</v>
      </c>
      <c r="J31" s="169" t="s">
        <v>4456</v>
      </c>
    </row>
    <row r="32" spans="1:10" ht="75" customHeight="1">
      <c r="A32" s="159">
        <v>29</v>
      </c>
      <c r="B32" s="175" t="s">
        <v>2893</v>
      </c>
      <c r="C32" s="269" t="s">
        <v>4469</v>
      </c>
      <c r="D32" s="162" t="s">
        <v>2866</v>
      </c>
      <c r="E32" s="162" t="s">
        <v>4470</v>
      </c>
      <c r="F32" s="162" t="s">
        <v>4471</v>
      </c>
      <c r="G32" s="163" t="s">
        <v>4472</v>
      </c>
      <c r="H32" s="162" t="s">
        <v>4473</v>
      </c>
      <c r="I32" s="162" t="s">
        <v>4474</v>
      </c>
      <c r="J32" s="164" t="s">
        <v>4475</v>
      </c>
    </row>
    <row r="33" spans="1:10" ht="75" customHeight="1">
      <c r="A33" s="165">
        <v>30</v>
      </c>
      <c r="B33" s="175" t="s">
        <v>2893</v>
      </c>
      <c r="C33" s="269" t="s">
        <v>4457</v>
      </c>
      <c r="D33" s="167" t="s">
        <v>2866</v>
      </c>
      <c r="E33" s="167" t="s">
        <v>3035</v>
      </c>
      <c r="F33" s="167" t="s">
        <v>4458</v>
      </c>
      <c r="G33" s="168" t="s">
        <v>4459</v>
      </c>
      <c r="H33" s="167" t="s">
        <v>4460</v>
      </c>
      <c r="I33" s="167" t="s">
        <v>4461</v>
      </c>
      <c r="J33" s="169" t="s">
        <v>4462</v>
      </c>
    </row>
    <row r="34" spans="1:10" ht="75" customHeight="1">
      <c r="A34" s="159">
        <v>31</v>
      </c>
      <c r="B34" s="176" t="s">
        <v>2922</v>
      </c>
      <c r="C34" s="269" t="s">
        <v>4495</v>
      </c>
      <c r="D34" s="162" t="s">
        <v>2866</v>
      </c>
      <c r="E34" s="162" t="s">
        <v>2825</v>
      </c>
      <c r="F34" s="162" t="s">
        <v>4496</v>
      </c>
      <c r="G34" s="163" t="s">
        <v>4497</v>
      </c>
      <c r="H34" s="162" t="s">
        <v>4498</v>
      </c>
      <c r="I34" s="162" t="s">
        <v>4499</v>
      </c>
      <c r="J34" s="164" t="s">
        <v>4500</v>
      </c>
    </row>
    <row r="35" spans="1:10" ht="75" customHeight="1">
      <c r="A35" s="165">
        <v>32</v>
      </c>
      <c r="B35" s="176" t="s">
        <v>2922</v>
      </c>
      <c r="C35" s="269" t="s">
        <v>4508</v>
      </c>
      <c r="D35" s="167" t="s">
        <v>2979</v>
      </c>
      <c r="E35" s="167" t="s">
        <v>2895</v>
      </c>
      <c r="F35" s="167" t="s">
        <v>4509</v>
      </c>
      <c r="G35" s="168" t="s">
        <v>4510</v>
      </c>
      <c r="H35" s="167" t="s">
        <v>4511</v>
      </c>
      <c r="I35" s="167" t="s">
        <v>4512</v>
      </c>
      <c r="J35" s="169" t="s">
        <v>4513</v>
      </c>
    </row>
    <row r="36" spans="1:10" ht="75" customHeight="1">
      <c r="A36" s="159">
        <v>33</v>
      </c>
      <c r="B36" s="176" t="s">
        <v>2922</v>
      </c>
      <c r="C36" s="269" t="s">
        <v>3110</v>
      </c>
      <c r="D36" s="162" t="s">
        <v>2866</v>
      </c>
      <c r="E36" s="162" t="s">
        <v>2825</v>
      </c>
      <c r="F36" s="162" t="s">
        <v>3111</v>
      </c>
      <c r="G36" s="163" t="s">
        <v>3112</v>
      </c>
      <c r="H36" s="162" t="s">
        <v>3113</v>
      </c>
      <c r="I36" s="162" t="s">
        <v>3114</v>
      </c>
      <c r="J36" s="164" t="s">
        <v>3115</v>
      </c>
    </row>
    <row r="37" spans="1:10" ht="75" customHeight="1">
      <c r="A37" s="165">
        <v>34</v>
      </c>
      <c r="B37" s="176" t="s">
        <v>2922</v>
      </c>
      <c r="C37" s="269" t="s">
        <v>4501</v>
      </c>
      <c r="D37" s="167" t="s">
        <v>2866</v>
      </c>
      <c r="E37" s="167" t="s">
        <v>4502</v>
      </c>
      <c r="F37" s="167" t="s">
        <v>4503</v>
      </c>
      <c r="G37" s="168" t="s">
        <v>4504</v>
      </c>
      <c r="H37" s="167" t="s">
        <v>4505</v>
      </c>
      <c r="I37" s="167" t="s">
        <v>4506</v>
      </c>
      <c r="J37" s="169" t="s">
        <v>4507</v>
      </c>
    </row>
    <row r="38" spans="1:10" ht="75" customHeight="1">
      <c r="A38" s="159">
        <v>35</v>
      </c>
      <c r="B38" s="177" t="s">
        <v>2922</v>
      </c>
      <c r="C38" s="166" t="s">
        <v>2939</v>
      </c>
      <c r="D38" s="162" t="s">
        <v>2932</v>
      </c>
      <c r="E38" s="162" t="s">
        <v>2933</v>
      </c>
      <c r="F38" s="162" t="s">
        <v>2940</v>
      </c>
      <c r="G38" s="163" t="s">
        <v>2941</v>
      </c>
      <c r="H38" s="162" t="s">
        <v>2928</v>
      </c>
      <c r="I38" s="162" t="s">
        <v>2942</v>
      </c>
      <c r="J38" s="164" t="s">
        <v>2943</v>
      </c>
    </row>
    <row r="39" spans="1:10" ht="75" customHeight="1">
      <c r="A39" s="165">
        <v>36</v>
      </c>
      <c r="B39" s="177" t="s">
        <v>2922</v>
      </c>
      <c r="C39" s="269" t="s">
        <v>2931</v>
      </c>
      <c r="D39" s="167" t="s">
        <v>2932</v>
      </c>
      <c r="E39" s="167" t="s">
        <v>2933</v>
      </c>
      <c r="F39" s="167" t="s">
        <v>2934</v>
      </c>
      <c r="G39" s="168" t="s">
        <v>2935</v>
      </c>
      <c r="H39" s="167" t="s">
        <v>2936</v>
      </c>
      <c r="I39" s="167" t="s">
        <v>2937</v>
      </c>
      <c r="J39" s="169" t="s">
        <v>2938</v>
      </c>
    </row>
    <row r="40" spans="1:10" ht="75" customHeight="1">
      <c r="A40" s="159">
        <v>37</v>
      </c>
      <c r="B40" s="177" t="s">
        <v>2922</v>
      </c>
      <c r="C40" s="268" t="s">
        <v>2944</v>
      </c>
      <c r="D40" s="162" t="s">
        <v>2866</v>
      </c>
      <c r="E40" s="162" t="s">
        <v>2383</v>
      </c>
      <c r="F40" s="162" t="s">
        <v>2945</v>
      </c>
      <c r="G40" s="163" t="s">
        <v>2946</v>
      </c>
      <c r="H40" s="162" t="s">
        <v>2947</v>
      </c>
      <c r="I40" s="162" t="s">
        <v>2948</v>
      </c>
      <c r="J40" s="164" t="s">
        <v>2949</v>
      </c>
    </row>
    <row r="41" spans="1:10" ht="75" customHeight="1">
      <c r="A41" s="165">
        <v>38</v>
      </c>
      <c r="B41" s="177" t="s">
        <v>2922</v>
      </c>
      <c r="C41" s="269" t="s">
        <v>2923</v>
      </c>
      <c r="D41" s="167" t="s">
        <v>2924</v>
      </c>
      <c r="E41" s="167" t="s">
        <v>2925</v>
      </c>
      <c r="F41" s="167" t="s">
        <v>2926</v>
      </c>
      <c r="G41" s="168" t="s">
        <v>2927</v>
      </c>
      <c r="H41" s="167" t="s">
        <v>2928</v>
      </c>
      <c r="I41" s="167" t="s">
        <v>2929</v>
      </c>
      <c r="J41" s="169" t="s">
        <v>2930</v>
      </c>
    </row>
    <row r="42" spans="1:10" ht="75" customHeight="1">
      <c r="A42" s="159">
        <v>39</v>
      </c>
      <c r="B42" s="178" t="s">
        <v>2950</v>
      </c>
      <c r="C42" s="161" t="s">
        <v>2959</v>
      </c>
      <c r="D42" s="162" t="s">
        <v>2866</v>
      </c>
      <c r="E42" s="162" t="s">
        <v>2786</v>
      </c>
      <c r="F42" s="162" t="s">
        <v>2960</v>
      </c>
      <c r="G42" s="163" t="s">
        <v>2961</v>
      </c>
      <c r="H42" s="162" t="s">
        <v>2962</v>
      </c>
      <c r="I42" s="162" t="s">
        <v>2963</v>
      </c>
      <c r="J42" s="164" t="s">
        <v>2964</v>
      </c>
    </row>
    <row r="43" spans="1:10" ht="75" customHeight="1">
      <c r="A43" s="165">
        <v>40</v>
      </c>
      <c r="B43" s="178" t="s">
        <v>2950</v>
      </c>
      <c r="C43" s="166" t="s">
        <v>2965</v>
      </c>
      <c r="D43" s="167" t="s">
        <v>2866</v>
      </c>
      <c r="E43" s="167" t="s">
        <v>2140</v>
      </c>
      <c r="F43" s="167" t="s">
        <v>2966</v>
      </c>
      <c r="G43" s="168" t="s">
        <v>2967</v>
      </c>
      <c r="H43" s="167" t="s">
        <v>2968</v>
      </c>
      <c r="I43" s="167" t="s">
        <v>2969</v>
      </c>
      <c r="J43" s="169" t="s">
        <v>2970</v>
      </c>
    </row>
    <row r="44" spans="1:10" ht="75" customHeight="1">
      <c r="A44" s="159">
        <v>41</v>
      </c>
      <c r="B44" s="178" t="s">
        <v>2950</v>
      </c>
      <c r="C44" s="269" t="s">
        <v>2951</v>
      </c>
      <c r="D44" s="162" t="s">
        <v>2952</v>
      </c>
      <c r="E44" s="162" t="s">
        <v>2953</v>
      </c>
      <c r="F44" s="162" t="s">
        <v>2954</v>
      </c>
      <c r="G44" s="163" t="s">
        <v>2955</v>
      </c>
      <c r="H44" s="162" t="s">
        <v>2956</v>
      </c>
      <c r="I44" s="162" t="s">
        <v>2957</v>
      </c>
      <c r="J44" s="164" t="s">
        <v>2958</v>
      </c>
    </row>
    <row r="45" spans="1:10" ht="75" customHeight="1">
      <c r="A45" s="165">
        <v>42</v>
      </c>
      <c r="B45" s="178" t="s">
        <v>2971</v>
      </c>
      <c r="C45" s="166" t="s">
        <v>2992</v>
      </c>
      <c r="D45" s="167" t="s">
        <v>2866</v>
      </c>
      <c r="E45" s="167" t="s">
        <v>2986</v>
      </c>
      <c r="F45" s="167" t="s">
        <v>2993</v>
      </c>
      <c r="G45" s="168" t="s">
        <v>2994</v>
      </c>
      <c r="H45" s="167" t="s">
        <v>2995</v>
      </c>
      <c r="I45" s="167" t="s">
        <v>2996</v>
      </c>
      <c r="J45" s="169" t="s">
        <v>2997</v>
      </c>
    </row>
    <row r="46" spans="1:10" ht="75" customHeight="1">
      <c r="A46" s="159">
        <v>43</v>
      </c>
      <c r="B46" s="179" t="s">
        <v>2971</v>
      </c>
      <c r="C46" s="166" t="s">
        <v>3116</v>
      </c>
      <c r="D46" s="162" t="s">
        <v>2866</v>
      </c>
      <c r="E46" s="162" t="s">
        <v>3117</v>
      </c>
      <c r="F46" s="162" t="s">
        <v>3118</v>
      </c>
      <c r="G46" s="163" t="s">
        <v>3119</v>
      </c>
      <c r="H46" s="162" t="s">
        <v>2989</v>
      </c>
      <c r="I46" s="162" t="s">
        <v>3120</v>
      </c>
      <c r="J46" s="164" t="s">
        <v>3121</v>
      </c>
    </row>
    <row r="47" spans="1:10" ht="75" customHeight="1">
      <c r="A47" s="165">
        <v>44</v>
      </c>
      <c r="B47" s="179" t="s">
        <v>2971</v>
      </c>
      <c r="C47" s="161" t="s">
        <v>2985</v>
      </c>
      <c r="D47" s="167" t="s">
        <v>2866</v>
      </c>
      <c r="E47" s="167" t="s">
        <v>2986</v>
      </c>
      <c r="F47" s="167" t="s">
        <v>2987</v>
      </c>
      <c r="G47" s="168" t="s">
        <v>2988</v>
      </c>
      <c r="H47" s="167" t="s">
        <v>2989</v>
      </c>
      <c r="I47" s="167" t="s">
        <v>2990</v>
      </c>
      <c r="J47" s="169" t="s">
        <v>2991</v>
      </c>
    </row>
    <row r="48" spans="1:10" ht="75" customHeight="1">
      <c r="A48" s="159">
        <v>45</v>
      </c>
      <c r="B48" s="179" t="s">
        <v>2971</v>
      </c>
      <c r="C48" s="166" t="s">
        <v>2978</v>
      </c>
      <c r="D48" s="162" t="s">
        <v>2979</v>
      </c>
      <c r="E48" s="162" t="s">
        <v>2895</v>
      </c>
      <c r="F48" s="162" t="s">
        <v>2980</v>
      </c>
      <c r="G48" s="163" t="s">
        <v>2981</v>
      </c>
      <c r="H48" s="162" t="s">
        <v>2982</v>
      </c>
      <c r="I48" s="162" t="s">
        <v>2983</v>
      </c>
      <c r="J48" s="164" t="s">
        <v>2984</v>
      </c>
    </row>
    <row r="49" spans="1:10" ht="75" customHeight="1">
      <c r="A49" s="165">
        <v>46</v>
      </c>
      <c r="B49" s="170" t="s">
        <v>2971</v>
      </c>
      <c r="C49" s="269" t="s">
        <v>2972</v>
      </c>
      <c r="D49" s="167" t="s">
        <v>2866</v>
      </c>
      <c r="E49" s="167" t="s">
        <v>2140</v>
      </c>
      <c r="F49" s="167" t="s">
        <v>2973</v>
      </c>
      <c r="G49" s="168" t="s">
        <v>2974</v>
      </c>
      <c r="H49" s="167" t="s">
        <v>2975</v>
      </c>
      <c r="I49" s="167" t="s">
        <v>2976</v>
      </c>
      <c r="J49" s="169" t="s">
        <v>2977</v>
      </c>
    </row>
    <row r="50" spans="1:10" ht="75" customHeight="1">
      <c r="A50" s="159">
        <v>47</v>
      </c>
      <c r="B50" s="170" t="s">
        <v>4476</v>
      </c>
      <c r="C50" s="269" t="s">
        <v>4489</v>
      </c>
      <c r="D50" s="162" t="s">
        <v>2779</v>
      </c>
      <c r="E50" s="162" t="s">
        <v>2178</v>
      </c>
      <c r="F50" s="162" t="s">
        <v>4490</v>
      </c>
      <c r="G50" s="163" t="s">
        <v>4491</v>
      </c>
      <c r="H50" s="162" t="s">
        <v>4492</v>
      </c>
      <c r="I50" s="162" t="s">
        <v>4493</v>
      </c>
      <c r="J50" s="164" t="s">
        <v>4494</v>
      </c>
    </row>
    <row r="51" spans="1:10" ht="75" customHeight="1">
      <c r="A51" s="165">
        <v>48</v>
      </c>
      <c r="B51" s="175" t="s">
        <v>4476</v>
      </c>
      <c r="C51" s="269" t="s">
        <v>4477</v>
      </c>
      <c r="D51" s="167" t="s">
        <v>2979</v>
      </c>
      <c r="E51" s="167" t="s">
        <v>2127</v>
      </c>
      <c r="F51" s="167" t="s">
        <v>4478</v>
      </c>
      <c r="G51" s="168" t="s">
        <v>4479</v>
      </c>
      <c r="H51" s="167" t="s">
        <v>4480</v>
      </c>
      <c r="I51" s="167" t="s">
        <v>4481</v>
      </c>
      <c r="J51" s="169" t="s">
        <v>4482</v>
      </c>
    </row>
    <row r="52" spans="1:10" ht="75" customHeight="1">
      <c r="A52" s="159">
        <v>49</v>
      </c>
      <c r="B52" s="160" t="s">
        <v>4476</v>
      </c>
      <c r="C52" s="269" t="s">
        <v>4483</v>
      </c>
      <c r="D52" s="162" t="s">
        <v>2979</v>
      </c>
      <c r="E52" s="162" t="s">
        <v>2127</v>
      </c>
      <c r="F52" s="162" t="s">
        <v>4484</v>
      </c>
      <c r="G52" s="163" t="s">
        <v>4485</v>
      </c>
      <c r="H52" s="162" t="s">
        <v>4486</v>
      </c>
      <c r="I52" s="162" t="s">
        <v>4487</v>
      </c>
      <c r="J52" s="164" t="s">
        <v>4488</v>
      </c>
    </row>
    <row r="53" spans="1:10" ht="75" customHeight="1">
      <c r="A53" s="165">
        <v>50</v>
      </c>
      <c r="B53" s="170" t="s">
        <v>2998</v>
      </c>
      <c r="C53" s="269" t="s">
        <v>2999</v>
      </c>
      <c r="D53" s="167" t="s">
        <v>3000</v>
      </c>
      <c r="E53" s="167" t="s">
        <v>3001</v>
      </c>
      <c r="F53" s="167" t="s">
        <v>3002</v>
      </c>
      <c r="G53" s="168" t="s">
        <v>3003</v>
      </c>
      <c r="H53" s="167" t="s">
        <v>3004</v>
      </c>
      <c r="I53" s="167" t="s">
        <v>3005</v>
      </c>
      <c r="J53" s="169" t="s">
        <v>3006</v>
      </c>
    </row>
    <row r="54" spans="1:10" ht="75" customHeight="1">
      <c r="A54" s="159">
        <v>51</v>
      </c>
      <c r="B54" s="174" t="s">
        <v>2998</v>
      </c>
      <c r="C54" s="166" t="s">
        <v>3007</v>
      </c>
      <c r="D54" s="162" t="s">
        <v>2866</v>
      </c>
      <c r="E54" s="162" t="s">
        <v>3008</v>
      </c>
      <c r="F54" s="162" t="s">
        <v>3009</v>
      </c>
      <c r="G54" s="163" t="s">
        <v>3010</v>
      </c>
      <c r="H54" s="162" t="s">
        <v>3011</v>
      </c>
      <c r="I54" s="162" t="s">
        <v>3012</v>
      </c>
      <c r="J54" s="264" t="s">
        <v>3013</v>
      </c>
    </row>
    <row r="55" spans="1:10" ht="75" customHeight="1">
      <c r="A55" s="165">
        <v>52</v>
      </c>
      <c r="B55" s="176" t="s">
        <v>2998</v>
      </c>
      <c r="C55" s="269" t="s">
        <v>3014</v>
      </c>
      <c r="D55" s="167" t="s">
        <v>2866</v>
      </c>
      <c r="E55" s="167" t="s">
        <v>3015</v>
      </c>
      <c r="F55" s="167" t="s">
        <v>3016</v>
      </c>
      <c r="G55" s="168" t="s">
        <v>3017</v>
      </c>
      <c r="H55" s="167" t="s">
        <v>3018</v>
      </c>
      <c r="I55" s="167" t="s">
        <v>3019</v>
      </c>
      <c r="J55" s="169" t="s">
        <v>3020</v>
      </c>
    </row>
    <row r="56" spans="1:10" ht="75" customHeight="1">
      <c r="A56" s="159">
        <v>53</v>
      </c>
      <c r="B56" s="177" t="s">
        <v>2998</v>
      </c>
      <c r="C56" s="269" t="s">
        <v>4514</v>
      </c>
      <c r="D56" s="162" t="s">
        <v>2979</v>
      </c>
      <c r="E56" s="162" t="s">
        <v>2786</v>
      </c>
      <c r="F56" s="162" t="s">
        <v>4515</v>
      </c>
      <c r="G56" s="163" t="s">
        <v>4516</v>
      </c>
      <c r="H56" s="162" t="s">
        <v>4517</v>
      </c>
      <c r="I56" s="162" t="s">
        <v>4518</v>
      </c>
      <c r="J56" s="164" t="s">
        <v>4519</v>
      </c>
    </row>
    <row r="57" spans="1:10" ht="75" customHeight="1">
      <c r="A57" s="165">
        <v>54</v>
      </c>
      <c r="B57" s="179" t="s">
        <v>2998</v>
      </c>
      <c r="C57" s="166" t="s">
        <v>3021</v>
      </c>
      <c r="D57" s="167" t="s">
        <v>2916</v>
      </c>
      <c r="E57" s="167" t="s">
        <v>2127</v>
      </c>
      <c r="F57" s="167" t="s">
        <v>3022</v>
      </c>
      <c r="G57" s="168" t="s">
        <v>3023</v>
      </c>
      <c r="H57" s="167" t="s">
        <v>3024</v>
      </c>
      <c r="I57" s="167" t="s">
        <v>3025</v>
      </c>
      <c r="J57" s="169" t="s">
        <v>3026</v>
      </c>
    </row>
    <row r="58" spans="1:10" ht="75" customHeight="1">
      <c r="A58" s="159">
        <v>55</v>
      </c>
      <c r="B58" s="179" t="s">
        <v>2998</v>
      </c>
      <c r="C58" s="269" t="s">
        <v>4532</v>
      </c>
      <c r="D58" s="162" t="s">
        <v>2916</v>
      </c>
      <c r="E58" s="162" t="s">
        <v>4533</v>
      </c>
      <c r="F58" s="162" t="s">
        <v>4534</v>
      </c>
      <c r="G58" s="163" t="s">
        <v>4535</v>
      </c>
      <c r="H58" s="162" t="s">
        <v>4536</v>
      </c>
      <c r="I58" s="162" t="s">
        <v>4537</v>
      </c>
      <c r="J58" s="164" t="s">
        <v>4538</v>
      </c>
    </row>
    <row r="59" spans="1:10" ht="75" customHeight="1">
      <c r="A59" s="165">
        <v>56</v>
      </c>
      <c r="B59" s="179" t="s">
        <v>2998</v>
      </c>
      <c r="C59" s="269" t="s">
        <v>4526</v>
      </c>
      <c r="D59" s="167" t="s">
        <v>2866</v>
      </c>
      <c r="E59" s="167" t="s">
        <v>2140</v>
      </c>
      <c r="F59" s="167" t="s">
        <v>4527</v>
      </c>
      <c r="G59" s="168" t="s">
        <v>4528</v>
      </c>
      <c r="H59" s="167" t="s">
        <v>4529</v>
      </c>
      <c r="I59" s="167" t="s">
        <v>4530</v>
      </c>
      <c r="J59" s="169" t="s">
        <v>4531</v>
      </c>
    </row>
    <row r="60" spans="1:10" ht="75" customHeight="1">
      <c r="A60" s="159">
        <v>57</v>
      </c>
      <c r="B60" s="180" t="s">
        <v>2998</v>
      </c>
      <c r="C60" s="161" t="s">
        <v>3122</v>
      </c>
      <c r="D60" s="162" t="s">
        <v>2866</v>
      </c>
      <c r="E60" s="162" t="s">
        <v>3123</v>
      </c>
      <c r="F60" s="162" t="s">
        <v>3124</v>
      </c>
      <c r="G60" s="163" t="s">
        <v>3125</v>
      </c>
      <c r="H60" s="162" t="s">
        <v>3126</v>
      </c>
      <c r="I60" s="162" t="s">
        <v>3127</v>
      </c>
      <c r="J60" s="164" t="s">
        <v>3128</v>
      </c>
    </row>
    <row r="61" spans="1:10" ht="75" customHeight="1">
      <c r="A61" s="165">
        <v>58</v>
      </c>
      <c r="B61" s="180" t="s">
        <v>2998</v>
      </c>
      <c r="C61" s="269" t="s">
        <v>4520</v>
      </c>
      <c r="D61" s="167" t="s">
        <v>2866</v>
      </c>
      <c r="E61" s="167" t="s">
        <v>2127</v>
      </c>
      <c r="F61" s="167" t="s">
        <v>4521</v>
      </c>
      <c r="G61" s="168" t="s">
        <v>4522</v>
      </c>
      <c r="H61" s="167" t="s">
        <v>4523</v>
      </c>
      <c r="I61" s="167" t="s">
        <v>4524</v>
      </c>
      <c r="J61" s="169" t="s">
        <v>4525</v>
      </c>
    </row>
    <row r="62" spans="1:10" ht="75" customHeight="1">
      <c r="A62" s="159">
        <v>59</v>
      </c>
      <c r="B62" s="180" t="s">
        <v>3027</v>
      </c>
      <c r="C62" s="185" t="s">
        <v>3028</v>
      </c>
      <c r="D62" s="162" t="s">
        <v>2866</v>
      </c>
      <c r="E62" s="162" t="s">
        <v>2825</v>
      </c>
      <c r="F62" s="162" t="s">
        <v>3029</v>
      </c>
      <c r="G62" s="163" t="s">
        <v>3030</v>
      </c>
      <c r="H62" s="162" t="s">
        <v>3031</v>
      </c>
      <c r="I62" s="162" t="s">
        <v>3032</v>
      </c>
      <c r="J62" s="164" t="s">
        <v>3033</v>
      </c>
    </row>
    <row r="63" spans="1:10" ht="75" customHeight="1">
      <c r="A63" s="165">
        <v>60</v>
      </c>
      <c r="B63" s="180" t="s">
        <v>3027</v>
      </c>
      <c r="C63" s="166" t="s">
        <v>3034</v>
      </c>
      <c r="D63" s="167" t="s">
        <v>2866</v>
      </c>
      <c r="E63" s="167" t="s">
        <v>3035</v>
      </c>
      <c r="F63" s="167" t="s">
        <v>3036</v>
      </c>
      <c r="G63" s="168" t="s">
        <v>3037</v>
      </c>
      <c r="H63" s="167" t="s">
        <v>3038</v>
      </c>
      <c r="I63" s="167" t="s">
        <v>3039</v>
      </c>
      <c r="J63" s="169" t="s">
        <v>3040</v>
      </c>
    </row>
    <row r="64" spans="1:10" ht="75" customHeight="1">
      <c r="A64" s="159">
        <v>61</v>
      </c>
      <c r="B64" s="180" t="s">
        <v>3027</v>
      </c>
      <c r="C64" s="166" t="s">
        <v>3048</v>
      </c>
      <c r="D64" s="162" t="s">
        <v>3049</v>
      </c>
      <c r="E64" s="162" t="s">
        <v>3001</v>
      </c>
      <c r="F64" s="162" t="s">
        <v>3050</v>
      </c>
      <c r="G64" s="163" t="s">
        <v>3051</v>
      </c>
      <c r="H64" s="162" t="s">
        <v>3052</v>
      </c>
      <c r="I64" s="162" t="s">
        <v>3053</v>
      </c>
      <c r="J64" s="164" t="s">
        <v>3054</v>
      </c>
    </row>
    <row r="65" spans="1:10" ht="75" customHeight="1">
      <c r="A65" s="165">
        <v>62</v>
      </c>
      <c r="B65" s="180" t="s">
        <v>3027</v>
      </c>
      <c r="C65" s="269" t="s">
        <v>3041</v>
      </c>
      <c r="D65" s="167" t="s">
        <v>3042</v>
      </c>
      <c r="E65" s="167" t="s">
        <v>3001</v>
      </c>
      <c r="F65" s="167" t="s">
        <v>3043</v>
      </c>
      <c r="G65" s="168" t="s">
        <v>3044</v>
      </c>
      <c r="H65" s="167" t="s">
        <v>3045</v>
      </c>
      <c r="I65" s="167" t="s">
        <v>3046</v>
      </c>
      <c r="J65" s="169" t="s">
        <v>3047</v>
      </c>
    </row>
    <row r="66" spans="1:10" ht="75" customHeight="1">
      <c r="A66" s="159">
        <v>63</v>
      </c>
      <c r="B66" s="180" t="s">
        <v>3055</v>
      </c>
      <c r="C66" s="161" t="s">
        <v>3135</v>
      </c>
      <c r="D66" s="162" t="s">
        <v>2866</v>
      </c>
      <c r="E66" s="162" t="s">
        <v>2825</v>
      </c>
      <c r="F66" s="162" t="s">
        <v>3136</v>
      </c>
      <c r="G66" s="163" t="s">
        <v>3137</v>
      </c>
      <c r="H66" s="162" t="s">
        <v>3138</v>
      </c>
      <c r="I66" s="162" t="s">
        <v>3139</v>
      </c>
      <c r="J66" s="164" t="s">
        <v>3140</v>
      </c>
    </row>
    <row r="67" spans="1:10" ht="75" customHeight="1">
      <c r="A67" s="165">
        <v>64</v>
      </c>
      <c r="B67" s="180" t="s">
        <v>3055</v>
      </c>
      <c r="C67" s="166" t="s">
        <v>3063</v>
      </c>
      <c r="D67" s="167" t="s">
        <v>2866</v>
      </c>
      <c r="E67" s="167" t="s">
        <v>3064</v>
      </c>
      <c r="F67" s="167" t="s">
        <v>3065</v>
      </c>
      <c r="G67" s="168" t="s">
        <v>3066</v>
      </c>
      <c r="H67" s="167" t="s">
        <v>3067</v>
      </c>
      <c r="I67" s="167" t="s">
        <v>3068</v>
      </c>
      <c r="J67" s="169" t="s">
        <v>3069</v>
      </c>
    </row>
    <row r="68" spans="1:10" ht="75" customHeight="1">
      <c r="A68" s="159">
        <v>65</v>
      </c>
      <c r="B68" s="180" t="s">
        <v>3055</v>
      </c>
      <c r="C68" s="166" t="s">
        <v>3141</v>
      </c>
      <c r="D68" s="162" t="s">
        <v>3071</v>
      </c>
      <c r="E68" s="162" t="s">
        <v>3035</v>
      </c>
      <c r="F68" s="162" t="s">
        <v>3142</v>
      </c>
      <c r="G68" s="163" t="s">
        <v>3143</v>
      </c>
      <c r="H68" s="162" t="s">
        <v>3144</v>
      </c>
      <c r="I68" s="162" t="s">
        <v>3145</v>
      </c>
      <c r="J68" s="164" t="s">
        <v>3146</v>
      </c>
    </row>
    <row r="69" spans="1:10" ht="75" customHeight="1">
      <c r="A69" s="165">
        <v>66</v>
      </c>
      <c r="B69" s="181" t="s">
        <v>3055</v>
      </c>
      <c r="C69" s="166" t="s">
        <v>3129</v>
      </c>
      <c r="D69" s="167" t="s">
        <v>2866</v>
      </c>
      <c r="E69" s="167" t="s">
        <v>3123</v>
      </c>
      <c r="F69" s="167" t="s">
        <v>3130</v>
      </c>
      <c r="G69" s="168" t="s">
        <v>3131</v>
      </c>
      <c r="H69" s="167" t="s">
        <v>3132</v>
      </c>
      <c r="I69" s="167" t="s">
        <v>3133</v>
      </c>
      <c r="J69" s="169" t="s">
        <v>3134</v>
      </c>
    </row>
    <row r="70" spans="1:10" ht="75" customHeight="1">
      <c r="A70" s="159">
        <v>67</v>
      </c>
      <c r="B70" s="181" t="s">
        <v>3055</v>
      </c>
      <c r="C70" s="269" t="s">
        <v>3056</v>
      </c>
      <c r="D70" s="162" t="s">
        <v>3057</v>
      </c>
      <c r="E70" s="162" t="s">
        <v>2127</v>
      </c>
      <c r="F70" s="162" t="s">
        <v>3058</v>
      </c>
      <c r="G70" s="163" t="s">
        <v>3059</v>
      </c>
      <c r="H70" s="162" t="s">
        <v>3060</v>
      </c>
      <c r="I70" s="162" t="s">
        <v>3061</v>
      </c>
      <c r="J70" s="164" t="s">
        <v>3062</v>
      </c>
    </row>
    <row r="71" spans="1:10" ht="75" customHeight="1">
      <c r="A71" s="165">
        <v>68</v>
      </c>
      <c r="B71" s="181" t="s">
        <v>3055</v>
      </c>
      <c r="C71" s="161" t="s">
        <v>3070</v>
      </c>
      <c r="D71" s="167" t="s">
        <v>3071</v>
      </c>
      <c r="E71" s="167" t="s">
        <v>2825</v>
      </c>
      <c r="F71" s="167" t="s">
        <v>3072</v>
      </c>
      <c r="G71" s="168" t="s">
        <v>3073</v>
      </c>
      <c r="H71" s="167" t="s">
        <v>3074</v>
      </c>
      <c r="I71" s="167" t="s">
        <v>3075</v>
      </c>
      <c r="J71" s="169" t="s">
        <v>3076</v>
      </c>
    </row>
    <row r="72" spans="1:10" ht="75" customHeight="1">
      <c r="A72" s="159">
        <v>69</v>
      </c>
      <c r="B72" s="181" t="s">
        <v>3334</v>
      </c>
      <c r="C72" s="161" t="s">
        <v>3335</v>
      </c>
      <c r="D72" s="162" t="s">
        <v>3328</v>
      </c>
      <c r="E72" s="162" t="s">
        <v>3336</v>
      </c>
      <c r="F72" s="162" t="s">
        <v>3337</v>
      </c>
      <c r="G72" s="163" t="s">
        <v>2906</v>
      </c>
      <c r="H72" s="162" t="s">
        <v>3338</v>
      </c>
      <c r="I72" s="162" t="s">
        <v>3339</v>
      </c>
      <c r="J72" s="164" t="s">
        <v>3340</v>
      </c>
    </row>
    <row r="73" spans="1:10" ht="75" customHeight="1">
      <c r="A73" s="165">
        <v>70</v>
      </c>
      <c r="B73" s="181" t="s">
        <v>3077</v>
      </c>
      <c r="C73" s="161" t="s">
        <v>3084</v>
      </c>
      <c r="D73" s="167" t="s">
        <v>2866</v>
      </c>
      <c r="E73" s="167" t="s">
        <v>2140</v>
      </c>
      <c r="F73" s="167" t="s">
        <v>3085</v>
      </c>
      <c r="G73" s="168" t="s">
        <v>3086</v>
      </c>
      <c r="H73" s="167" t="s">
        <v>3087</v>
      </c>
      <c r="I73" s="167" t="s">
        <v>3088</v>
      </c>
      <c r="J73" s="169" t="s">
        <v>3089</v>
      </c>
    </row>
    <row r="74" spans="1:10" ht="75" customHeight="1">
      <c r="A74" s="159">
        <v>71</v>
      </c>
      <c r="B74" s="181" t="s">
        <v>3077</v>
      </c>
      <c r="C74" s="166" t="s">
        <v>3078</v>
      </c>
      <c r="D74" s="162" t="s">
        <v>2866</v>
      </c>
      <c r="E74" s="162" t="s">
        <v>2825</v>
      </c>
      <c r="F74" s="162" t="s">
        <v>3079</v>
      </c>
      <c r="G74" s="163" t="s">
        <v>3080</v>
      </c>
      <c r="H74" s="162" t="s">
        <v>3081</v>
      </c>
      <c r="I74" s="162" t="s">
        <v>3082</v>
      </c>
      <c r="J74" s="164" t="s">
        <v>3083</v>
      </c>
    </row>
    <row r="75" spans="1:10" ht="75" customHeight="1">
      <c r="A75" s="165">
        <v>72</v>
      </c>
      <c r="B75" s="181" t="s">
        <v>3090</v>
      </c>
      <c r="C75" s="166" t="s">
        <v>3091</v>
      </c>
      <c r="D75" s="167" t="s">
        <v>3092</v>
      </c>
      <c r="E75" s="167" t="s">
        <v>3093</v>
      </c>
      <c r="F75" s="167" t="s">
        <v>3094</v>
      </c>
      <c r="G75" s="168" t="s">
        <v>3095</v>
      </c>
      <c r="H75" s="167" t="s">
        <v>3096</v>
      </c>
      <c r="I75" s="167" t="s">
        <v>3097</v>
      </c>
      <c r="J75" s="169" t="s">
        <v>3098</v>
      </c>
    </row>
    <row r="76" spans="1:10" ht="75" customHeight="1">
      <c r="A76" s="159">
        <v>73</v>
      </c>
      <c r="B76" s="181" t="s">
        <v>3147</v>
      </c>
      <c r="C76" s="269" t="s">
        <v>3148</v>
      </c>
      <c r="D76" s="162" t="s">
        <v>3149</v>
      </c>
      <c r="E76" s="162" t="s">
        <v>3150</v>
      </c>
      <c r="F76" s="162" t="s">
        <v>3151</v>
      </c>
      <c r="G76" s="163" t="s">
        <v>2906</v>
      </c>
      <c r="H76" s="162" t="s">
        <v>3152</v>
      </c>
      <c r="I76" s="162" t="s">
        <v>3153</v>
      </c>
      <c r="J76" s="164" t="s">
        <v>3154</v>
      </c>
    </row>
    <row r="77" spans="1:10" ht="75" customHeight="1">
      <c r="A77" s="165">
        <v>74</v>
      </c>
      <c r="B77" s="182" t="s">
        <v>3147</v>
      </c>
      <c r="C77" s="166" t="s">
        <v>3176</v>
      </c>
      <c r="D77" s="167" t="s">
        <v>2916</v>
      </c>
      <c r="E77" s="167" t="s">
        <v>3156</v>
      </c>
      <c r="F77" s="167" t="s">
        <v>3177</v>
      </c>
      <c r="G77" s="168" t="s">
        <v>2906</v>
      </c>
      <c r="H77" s="167" t="s">
        <v>3178</v>
      </c>
      <c r="I77" s="167" t="s">
        <v>3179</v>
      </c>
      <c r="J77" s="169" t="s">
        <v>3180</v>
      </c>
    </row>
    <row r="78" spans="1:10" ht="75" customHeight="1">
      <c r="A78" s="159">
        <v>75</v>
      </c>
      <c r="B78" s="182" t="s">
        <v>3147</v>
      </c>
      <c r="C78" s="166" t="s">
        <v>3166</v>
      </c>
      <c r="D78" s="162" t="s">
        <v>2979</v>
      </c>
      <c r="E78" s="162" t="s">
        <v>3156</v>
      </c>
      <c r="F78" s="162" t="s">
        <v>3167</v>
      </c>
      <c r="G78" s="163" t="s">
        <v>2906</v>
      </c>
      <c r="H78" s="162" t="s">
        <v>3168</v>
      </c>
      <c r="I78" s="162" t="s">
        <v>3169</v>
      </c>
      <c r="J78" s="164" t="s">
        <v>3170</v>
      </c>
    </row>
    <row r="79" spans="1:10" ht="75" customHeight="1">
      <c r="A79" s="165">
        <v>76</v>
      </c>
      <c r="B79" s="182" t="s">
        <v>3147</v>
      </c>
      <c r="C79" s="161" t="s">
        <v>3171</v>
      </c>
      <c r="D79" s="167" t="s">
        <v>2979</v>
      </c>
      <c r="E79" s="167" t="s">
        <v>3156</v>
      </c>
      <c r="F79" s="167" t="s">
        <v>3172</v>
      </c>
      <c r="G79" s="168" t="s">
        <v>2906</v>
      </c>
      <c r="H79" s="167" t="s">
        <v>3173</v>
      </c>
      <c r="I79" s="167" t="s">
        <v>3174</v>
      </c>
      <c r="J79" s="169" t="s">
        <v>3175</v>
      </c>
    </row>
    <row r="80" spans="1:10" ht="75" customHeight="1">
      <c r="A80" s="159">
        <v>77</v>
      </c>
      <c r="B80" s="182" t="s">
        <v>3147</v>
      </c>
      <c r="C80" s="161" t="s">
        <v>3191</v>
      </c>
      <c r="D80" s="162" t="s">
        <v>2916</v>
      </c>
      <c r="E80" s="162" t="s">
        <v>3150</v>
      </c>
      <c r="F80" s="162" t="s">
        <v>3192</v>
      </c>
      <c r="G80" s="163" t="s">
        <v>2906</v>
      </c>
      <c r="H80" s="162" t="s">
        <v>3193</v>
      </c>
      <c r="I80" s="162" t="s">
        <v>3194</v>
      </c>
      <c r="J80" s="164" t="s">
        <v>3195</v>
      </c>
    </row>
    <row r="81" spans="1:10" ht="75" customHeight="1">
      <c r="A81" s="165">
        <v>78</v>
      </c>
      <c r="B81" s="182" t="s">
        <v>3147</v>
      </c>
      <c r="C81" s="166" t="s">
        <v>3186</v>
      </c>
      <c r="D81" s="167" t="s">
        <v>2979</v>
      </c>
      <c r="E81" s="167" t="s">
        <v>3156</v>
      </c>
      <c r="F81" s="167" t="s">
        <v>3187</v>
      </c>
      <c r="G81" s="168" t="s">
        <v>2906</v>
      </c>
      <c r="H81" s="167" t="s">
        <v>3188</v>
      </c>
      <c r="I81" s="167" t="s">
        <v>3189</v>
      </c>
      <c r="J81" s="169" t="s">
        <v>3190</v>
      </c>
    </row>
    <row r="82" spans="1:10" ht="75" customHeight="1">
      <c r="A82" s="159">
        <v>79</v>
      </c>
      <c r="B82" s="183" t="s">
        <v>3147</v>
      </c>
      <c r="C82" s="161" t="s">
        <v>3181</v>
      </c>
      <c r="D82" s="162" t="s">
        <v>2979</v>
      </c>
      <c r="E82" s="162" t="s">
        <v>3156</v>
      </c>
      <c r="F82" s="162" t="s">
        <v>3182</v>
      </c>
      <c r="G82" s="163" t="s">
        <v>2906</v>
      </c>
      <c r="H82" s="162" t="s">
        <v>3183</v>
      </c>
      <c r="I82" s="162" t="s">
        <v>3184</v>
      </c>
      <c r="J82" s="164" t="s">
        <v>3185</v>
      </c>
    </row>
    <row r="83" spans="1:10" ht="75" customHeight="1">
      <c r="A83" s="165">
        <v>80</v>
      </c>
      <c r="B83" s="183" t="s">
        <v>3147</v>
      </c>
      <c r="C83" s="166" t="s">
        <v>3155</v>
      </c>
      <c r="D83" s="167" t="s">
        <v>2916</v>
      </c>
      <c r="E83" s="167" t="s">
        <v>3156</v>
      </c>
      <c r="F83" s="167" t="s">
        <v>3157</v>
      </c>
      <c r="G83" s="168" t="s">
        <v>2906</v>
      </c>
      <c r="H83" s="167" t="s">
        <v>3158</v>
      </c>
      <c r="I83" s="167" t="s">
        <v>3159</v>
      </c>
      <c r="J83" s="169" t="s">
        <v>3160</v>
      </c>
    </row>
    <row r="84" spans="1:10" ht="75" customHeight="1">
      <c r="A84" s="159">
        <v>81</v>
      </c>
      <c r="B84" s="183" t="s">
        <v>3147</v>
      </c>
      <c r="C84" s="161" t="s">
        <v>3161</v>
      </c>
      <c r="D84" s="162" t="s">
        <v>2916</v>
      </c>
      <c r="E84" s="162" t="s">
        <v>3156</v>
      </c>
      <c r="F84" s="162" t="s">
        <v>3162</v>
      </c>
      <c r="G84" s="163" t="s">
        <v>2906</v>
      </c>
      <c r="H84" s="162" t="s">
        <v>3163</v>
      </c>
      <c r="I84" s="162" t="s">
        <v>3164</v>
      </c>
      <c r="J84" s="164" t="s">
        <v>3165</v>
      </c>
    </row>
    <row r="85" spans="1:10" ht="75" customHeight="1">
      <c r="A85" s="165">
        <v>82</v>
      </c>
      <c r="B85" s="183" t="s">
        <v>3196</v>
      </c>
      <c r="C85" s="161" t="s">
        <v>3220</v>
      </c>
      <c r="D85" s="167" t="s">
        <v>2979</v>
      </c>
      <c r="E85" s="167" t="s">
        <v>3150</v>
      </c>
      <c r="F85" s="167" t="s">
        <v>3221</v>
      </c>
      <c r="G85" s="168" t="s">
        <v>2906</v>
      </c>
      <c r="H85" s="167" t="s">
        <v>3222</v>
      </c>
      <c r="I85" s="167" t="s">
        <v>3223</v>
      </c>
      <c r="J85" s="169" t="s">
        <v>3224</v>
      </c>
    </row>
    <row r="86" spans="1:10" ht="75" customHeight="1">
      <c r="A86" s="159">
        <v>83</v>
      </c>
      <c r="B86" s="183" t="s">
        <v>3196</v>
      </c>
      <c r="C86" s="269" t="s">
        <v>3197</v>
      </c>
      <c r="D86" s="162" t="s">
        <v>2979</v>
      </c>
      <c r="E86" s="162" t="s">
        <v>3150</v>
      </c>
      <c r="F86" s="162" t="s">
        <v>3198</v>
      </c>
      <c r="G86" s="163" t="s">
        <v>2906</v>
      </c>
      <c r="H86" s="162" t="s">
        <v>3199</v>
      </c>
      <c r="I86" s="162" t="s">
        <v>3200</v>
      </c>
      <c r="J86" s="164" t="s">
        <v>3201</v>
      </c>
    </row>
    <row r="87" spans="1:10" ht="75" customHeight="1">
      <c r="A87" s="165">
        <v>84</v>
      </c>
      <c r="B87" s="171" t="s">
        <v>3196</v>
      </c>
      <c r="C87" s="161" t="s">
        <v>3202</v>
      </c>
      <c r="D87" s="167" t="s">
        <v>3203</v>
      </c>
      <c r="E87" s="167" t="s">
        <v>3150</v>
      </c>
      <c r="F87" s="167" t="s">
        <v>3204</v>
      </c>
      <c r="G87" s="168" t="s">
        <v>2906</v>
      </c>
      <c r="H87" s="167" t="s">
        <v>3205</v>
      </c>
      <c r="I87" s="167" t="s">
        <v>3206</v>
      </c>
      <c r="J87" s="169" t="s">
        <v>3207</v>
      </c>
    </row>
    <row r="88" spans="1:10" ht="75" customHeight="1">
      <c r="A88" s="159">
        <v>85</v>
      </c>
      <c r="B88" s="184" t="s">
        <v>3196</v>
      </c>
      <c r="C88" s="161" t="s">
        <v>3320</v>
      </c>
      <c r="D88" s="162" t="s">
        <v>2916</v>
      </c>
      <c r="E88" s="162" t="s">
        <v>3150</v>
      </c>
      <c r="F88" s="162" t="s">
        <v>3321</v>
      </c>
      <c r="G88" s="163" t="s">
        <v>2906</v>
      </c>
      <c r="H88" s="162" t="s">
        <v>3322</v>
      </c>
      <c r="I88" s="162" t="s">
        <v>3323</v>
      </c>
      <c r="J88" s="164" t="s">
        <v>3219</v>
      </c>
    </row>
    <row r="89" spans="1:10" ht="75" customHeight="1">
      <c r="A89" s="165">
        <v>86</v>
      </c>
      <c r="B89" s="184" t="s">
        <v>3196</v>
      </c>
      <c r="C89" s="166" t="s">
        <v>3225</v>
      </c>
      <c r="D89" s="167" t="s">
        <v>2916</v>
      </c>
      <c r="E89" s="167" t="s">
        <v>3150</v>
      </c>
      <c r="F89" s="167" t="s">
        <v>3226</v>
      </c>
      <c r="G89" s="168" t="s">
        <v>2906</v>
      </c>
      <c r="H89" s="167" t="s">
        <v>3227</v>
      </c>
      <c r="I89" s="167" t="s">
        <v>3228</v>
      </c>
      <c r="J89" s="169" t="s">
        <v>3229</v>
      </c>
    </row>
    <row r="90" spans="1:10" ht="75" customHeight="1">
      <c r="A90" s="159">
        <v>87</v>
      </c>
      <c r="B90" s="184" t="s">
        <v>3196</v>
      </c>
      <c r="C90" s="166" t="s">
        <v>3216</v>
      </c>
      <c r="D90" s="162" t="s">
        <v>2916</v>
      </c>
      <c r="E90" s="162" t="s">
        <v>3150</v>
      </c>
      <c r="F90" s="162" t="s">
        <v>3217</v>
      </c>
      <c r="G90" s="163" t="s">
        <v>2906</v>
      </c>
      <c r="H90" s="162" t="s">
        <v>2947</v>
      </c>
      <c r="I90" s="162" t="s">
        <v>3218</v>
      </c>
      <c r="J90" s="164" t="s">
        <v>3219</v>
      </c>
    </row>
    <row r="91" spans="1:10" ht="75" customHeight="1">
      <c r="A91" s="165">
        <v>88</v>
      </c>
      <c r="B91" s="179" t="s">
        <v>3196</v>
      </c>
      <c r="C91" s="161" t="s">
        <v>3230</v>
      </c>
      <c r="D91" s="167" t="s">
        <v>2916</v>
      </c>
      <c r="E91" s="167" t="s">
        <v>3150</v>
      </c>
      <c r="F91" s="167" t="s">
        <v>3231</v>
      </c>
      <c r="G91" s="168" t="s">
        <v>2906</v>
      </c>
      <c r="H91" s="167" t="s">
        <v>3199</v>
      </c>
      <c r="I91" s="167" t="s">
        <v>3232</v>
      </c>
      <c r="J91" s="169" t="s">
        <v>3233</v>
      </c>
    </row>
    <row r="92" spans="1:10" ht="75" customHeight="1">
      <c r="A92" s="186">
        <v>89</v>
      </c>
      <c r="B92" s="187" t="s">
        <v>3196</v>
      </c>
      <c r="C92" s="189" t="s">
        <v>3212</v>
      </c>
      <c r="D92" s="190" t="s">
        <v>2979</v>
      </c>
      <c r="E92" s="190" t="s">
        <v>3150</v>
      </c>
      <c r="F92" s="190" t="s">
        <v>3213</v>
      </c>
      <c r="G92" s="191" t="s">
        <v>2906</v>
      </c>
      <c r="H92" s="190" t="s">
        <v>3199</v>
      </c>
      <c r="I92" s="190" t="s">
        <v>3214</v>
      </c>
      <c r="J92" s="193" t="s">
        <v>3215</v>
      </c>
    </row>
    <row r="93" spans="1:10" ht="24">
      <c r="A93" s="194">
        <v>90</v>
      </c>
      <c r="B93" s="196" t="s">
        <v>3196</v>
      </c>
      <c r="C93" s="188" t="s">
        <v>3208</v>
      </c>
      <c r="D93" s="199" t="s">
        <v>2979</v>
      </c>
      <c r="E93" s="199" t="s">
        <v>3150</v>
      </c>
      <c r="F93" s="199" t="s">
        <v>3209</v>
      </c>
      <c r="G93" s="201" t="s">
        <v>2906</v>
      </c>
      <c r="H93" s="199" t="s">
        <v>3199</v>
      </c>
      <c r="I93" s="199" t="s">
        <v>3210</v>
      </c>
      <c r="J93" s="192" t="s">
        <v>3211</v>
      </c>
    </row>
    <row r="94" spans="1:10" ht="67.5" customHeight="1">
      <c r="A94" s="195">
        <v>91</v>
      </c>
      <c r="B94" s="197" t="s">
        <v>3234</v>
      </c>
      <c r="C94" s="198" t="s">
        <v>3250</v>
      </c>
      <c r="D94" s="200" t="s">
        <v>2979</v>
      </c>
      <c r="E94" s="200" t="s">
        <v>3150</v>
      </c>
      <c r="F94" s="200" t="s">
        <v>3251</v>
      </c>
      <c r="G94" s="202" t="s">
        <v>2906</v>
      </c>
      <c r="H94" s="200" t="s">
        <v>3252</v>
      </c>
      <c r="I94" s="200" t="s">
        <v>3253</v>
      </c>
      <c r="J94" s="203" t="s">
        <v>3254</v>
      </c>
    </row>
    <row r="95" spans="1:10" ht="36">
      <c r="A95" s="159">
        <v>92</v>
      </c>
      <c r="B95" s="160" t="s">
        <v>3234</v>
      </c>
      <c r="C95" s="166" t="s">
        <v>3255</v>
      </c>
      <c r="D95" s="162" t="s">
        <v>2916</v>
      </c>
      <c r="E95" s="162" t="s">
        <v>3150</v>
      </c>
      <c r="F95" s="162" t="s">
        <v>3256</v>
      </c>
      <c r="G95" s="163" t="s">
        <v>2906</v>
      </c>
      <c r="H95" s="162" t="s">
        <v>3257</v>
      </c>
      <c r="I95" s="162" t="s">
        <v>3258</v>
      </c>
      <c r="J95" s="164" t="s">
        <v>3259</v>
      </c>
    </row>
    <row r="96" spans="1:10" ht="24">
      <c r="A96" s="159">
        <v>93</v>
      </c>
      <c r="B96" s="160" t="s">
        <v>3234</v>
      </c>
      <c r="C96" s="161" t="s">
        <v>3240</v>
      </c>
      <c r="D96" s="162" t="s">
        <v>2916</v>
      </c>
      <c r="E96" s="162" t="s">
        <v>3150</v>
      </c>
      <c r="F96" s="162" t="s">
        <v>3241</v>
      </c>
      <c r="G96" s="163" t="s">
        <v>2906</v>
      </c>
      <c r="H96" s="162" t="s">
        <v>3242</v>
      </c>
      <c r="I96" s="162" t="s">
        <v>3243</v>
      </c>
      <c r="J96" s="164" t="s">
        <v>3244</v>
      </c>
    </row>
    <row r="97" spans="1:10" ht="24">
      <c r="A97" s="159">
        <v>94</v>
      </c>
      <c r="B97" s="160" t="s">
        <v>3234</v>
      </c>
      <c r="C97" s="166" t="s">
        <v>3245</v>
      </c>
      <c r="D97" s="162" t="s">
        <v>2916</v>
      </c>
      <c r="E97" s="162" t="s">
        <v>3156</v>
      </c>
      <c r="F97" s="162" t="s">
        <v>3246</v>
      </c>
      <c r="G97" s="163" t="s">
        <v>2906</v>
      </c>
      <c r="H97" s="162" t="s">
        <v>3247</v>
      </c>
      <c r="I97" s="162" t="s">
        <v>3248</v>
      </c>
      <c r="J97" s="164" t="s">
        <v>3249</v>
      </c>
    </row>
    <row r="98" spans="1:10" ht="24">
      <c r="A98" s="159">
        <v>95</v>
      </c>
      <c r="B98" s="160" t="s">
        <v>3234</v>
      </c>
      <c r="C98" s="269" t="s">
        <v>3235</v>
      </c>
      <c r="D98" s="162" t="s">
        <v>2979</v>
      </c>
      <c r="E98" s="162" t="s">
        <v>3156</v>
      </c>
      <c r="F98" s="162" t="s">
        <v>3236</v>
      </c>
      <c r="G98" s="163" t="s">
        <v>2906</v>
      </c>
      <c r="H98" s="162" t="s">
        <v>3237</v>
      </c>
      <c r="I98" s="162" t="s">
        <v>3238</v>
      </c>
      <c r="J98" s="164" t="s">
        <v>3239</v>
      </c>
    </row>
    <row r="99" spans="1:10" ht="24">
      <c r="A99" s="159">
        <v>96</v>
      </c>
      <c r="B99" s="160" t="s">
        <v>3260</v>
      </c>
      <c r="C99" s="161" t="s">
        <v>3261</v>
      </c>
      <c r="D99" s="162" t="s">
        <v>2916</v>
      </c>
      <c r="E99" s="162" t="s">
        <v>3150</v>
      </c>
      <c r="F99" s="162" t="s">
        <v>3262</v>
      </c>
      <c r="G99" s="163" t="s">
        <v>2906</v>
      </c>
      <c r="H99" s="162" t="s">
        <v>3263</v>
      </c>
      <c r="I99" s="162" t="s">
        <v>3264</v>
      </c>
      <c r="J99" s="164" t="s">
        <v>3265</v>
      </c>
    </row>
    <row r="100" spans="1:10" ht="24">
      <c r="A100" s="159">
        <v>97</v>
      </c>
      <c r="B100" s="160" t="s">
        <v>3260</v>
      </c>
      <c r="C100" s="166" t="s">
        <v>3276</v>
      </c>
      <c r="D100" s="162" t="s">
        <v>2979</v>
      </c>
      <c r="E100" s="162" t="s">
        <v>3156</v>
      </c>
      <c r="F100" s="162" t="s">
        <v>3277</v>
      </c>
      <c r="G100" s="163" t="s">
        <v>2906</v>
      </c>
      <c r="H100" s="162" t="s">
        <v>3278</v>
      </c>
      <c r="I100" s="162" t="s">
        <v>3279</v>
      </c>
      <c r="J100" s="164" t="s">
        <v>3280</v>
      </c>
    </row>
    <row r="101" spans="1:10" ht="24">
      <c r="A101" s="159">
        <v>98</v>
      </c>
      <c r="B101" s="160" t="s">
        <v>3260</v>
      </c>
      <c r="C101" s="161" t="s">
        <v>3281</v>
      </c>
      <c r="D101" s="162" t="s">
        <v>2979</v>
      </c>
      <c r="E101" s="162" t="s">
        <v>3150</v>
      </c>
      <c r="F101" s="162" t="s">
        <v>3282</v>
      </c>
      <c r="G101" s="163" t="s">
        <v>2906</v>
      </c>
      <c r="H101" s="162" t="s">
        <v>3283</v>
      </c>
      <c r="I101" s="162" t="s">
        <v>3284</v>
      </c>
      <c r="J101" s="164" t="s">
        <v>3285</v>
      </c>
    </row>
    <row r="102" spans="1:10" ht="24">
      <c r="A102" s="159">
        <v>99</v>
      </c>
      <c r="B102" s="160" t="s">
        <v>3260</v>
      </c>
      <c r="C102" s="161" t="s">
        <v>3271</v>
      </c>
      <c r="D102" s="162" t="s">
        <v>2916</v>
      </c>
      <c r="E102" s="162" t="s">
        <v>3156</v>
      </c>
      <c r="F102" s="162" t="s">
        <v>3272</v>
      </c>
      <c r="G102" s="163" t="s">
        <v>2906</v>
      </c>
      <c r="H102" s="162" t="s">
        <v>3273</v>
      </c>
      <c r="I102" s="162" t="s">
        <v>3274</v>
      </c>
      <c r="J102" s="164" t="s">
        <v>3275</v>
      </c>
    </row>
    <row r="103" spans="1:10" ht="24">
      <c r="A103" s="159">
        <v>100</v>
      </c>
      <c r="B103" s="160" t="s">
        <v>3260</v>
      </c>
      <c r="C103" s="166" t="s">
        <v>3266</v>
      </c>
      <c r="D103" s="162" t="s">
        <v>2916</v>
      </c>
      <c r="E103" s="162" t="s">
        <v>3150</v>
      </c>
      <c r="F103" s="162" t="s">
        <v>3267</v>
      </c>
      <c r="G103" s="163" t="s">
        <v>2906</v>
      </c>
      <c r="H103" s="162" t="s">
        <v>3268</v>
      </c>
      <c r="I103" s="162" t="s">
        <v>3269</v>
      </c>
      <c r="J103" s="164" t="s">
        <v>3270</v>
      </c>
    </row>
    <row r="104" spans="1:10" ht="24">
      <c r="A104" s="159">
        <v>101</v>
      </c>
      <c r="B104" s="160" t="s">
        <v>3286</v>
      </c>
      <c r="C104" s="166" t="s">
        <v>3287</v>
      </c>
      <c r="D104" s="162" t="s">
        <v>2916</v>
      </c>
      <c r="E104" s="162" t="s">
        <v>3288</v>
      </c>
      <c r="F104" s="162" t="s">
        <v>3289</v>
      </c>
      <c r="G104" s="163" t="s">
        <v>3290</v>
      </c>
      <c r="H104" s="162" t="s">
        <v>3291</v>
      </c>
      <c r="I104" s="162" t="s">
        <v>3292</v>
      </c>
      <c r="J104" s="164" t="s">
        <v>3293</v>
      </c>
    </row>
    <row r="105" spans="1:10" ht="36">
      <c r="A105" s="159">
        <v>102</v>
      </c>
      <c r="B105" s="160" t="s">
        <v>3294</v>
      </c>
      <c r="C105" s="166" t="s">
        <v>3302</v>
      </c>
      <c r="D105" s="162" t="s">
        <v>2866</v>
      </c>
      <c r="E105" s="162" t="s">
        <v>3303</v>
      </c>
      <c r="F105" s="162" t="s">
        <v>3304</v>
      </c>
      <c r="G105" s="163" t="s">
        <v>3305</v>
      </c>
      <c r="H105" s="162" t="s">
        <v>3306</v>
      </c>
      <c r="I105" s="162" t="s">
        <v>3307</v>
      </c>
      <c r="J105" s="164" t="s">
        <v>3308</v>
      </c>
    </row>
    <row r="106" spans="1:10" ht="36">
      <c r="A106" s="159">
        <v>103</v>
      </c>
      <c r="B106" s="160" t="s">
        <v>3294</v>
      </c>
      <c r="C106" s="269" t="s">
        <v>3295</v>
      </c>
      <c r="D106" s="162" t="s">
        <v>3296</v>
      </c>
      <c r="E106" s="162" t="s">
        <v>3150</v>
      </c>
      <c r="F106" s="162" t="s">
        <v>3297</v>
      </c>
      <c r="G106" s="163" t="s">
        <v>3298</v>
      </c>
      <c r="H106" s="162" t="s">
        <v>3299</v>
      </c>
      <c r="I106" s="162" t="s">
        <v>3300</v>
      </c>
      <c r="J106" s="164" t="s">
        <v>3301</v>
      </c>
    </row>
    <row r="107" spans="1:10" ht="36">
      <c r="A107" s="159">
        <v>104</v>
      </c>
      <c r="B107" s="160" t="s">
        <v>3294</v>
      </c>
      <c r="C107" s="161" t="s">
        <v>3309</v>
      </c>
      <c r="D107" s="162" t="s">
        <v>3296</v>
      </c>
      <c r="E107" s="162" t="s">
        <v>3150</v>
      </c>
      <c r="F107" s="162" t="s">
        <v>3310</v>
      </c>
      <c r="G107" s="163" t="s">
        <v>2906</v>
      </c>
      <c r="H107" s="162" t="s">
        <v>3311</v>
      </c>
      <c r="I107" s="162" t="s">
        <v>3312</v>
      </c>
      <c r="J107" s="164" t="s">
        <v>3313</v>
      </c>
    </row>
    <row r="108" spans="1:10" ht="36">
      <c r="A108" s="159">
        <v>105</v>
      </c>
      <c r="B108" s="160" t="s">
        <v>3314</v>
      </c>
      <c r="C108" s="166" t="s">
        <v>3315</v>
      </c>
      <c r="D108" s="162" t="s">
        <v>2916</v>
      </c>
      <c r="E108" s="162" t="s">
        <v>3150</v>
      </c>
      <c r="F108" s="162" t="s">
        <v>3316</v>
      </c>
      <c r="G108" s="163" t="s">
        <v>2906</v>
      </c>
      <c r="H108" s="162" t="s">
        <v>3317</v>
      </c>
      <c r="I108" s="162" t="s">
        <v>3318</v>
      </c>
      <c r="J108" s="164" t="s">
        <v>3319</v>
      </c>
    </row>
  </sheetData>
  <mergeCells count="2">
    <mergeCell ref="A1:J1"/>
    <mergeCell ref="A2:J2"/>
  </mergeCells>
  <hyperlinks>
    <hyperlink ref="J54" r:id="rId1" display="https://github.com/activecm/rita" xr:uid="{3E3A5E79-FF64-4535-8E73-EBAF8B688BE4}"/>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6B42A-208C-49AA-B74E-FDD172564A72}">
  <sheetPr>
    <tabColor rgb="FFFF8181"/>
  </sheetPr>
  <dimension ref="A1:K62"/>
  <sheetViews>
    <sheetView zoomScale="160" zoomScaleNormal="160" workbookViewId="0">
      <pane ySplit="4" topLeftCell="A44" activePane="bottomLeft" state="frozen"/>
      <selection pane="bottomLeft" activeCell="C16" sqref="C16"/>
    </sheetView>
  </sheetViews>
  <sheetFormatPr defaultRowHeight="15"/>
  <cols>
    <col min="1" max="1" width="6.7109375" customWidth="1"/>
    <col min="2" max="2" width="29.28515625" customWidth="1"/>
    <col min="3" max="3" width="34.7109375" customWidth="1"/>
    <col min="4" max="4" width="24" customWidth="1"/>
    <col min="5" max="5" width="21.28515625" customWidth="1"/>
    <col min="6" max="6" width="66.7109375" customWidth="1"/>
    <col min="7" max="7" width="50.7109375" customWidth="1"/>
    <col min="8" max="8" width="37.28515625" customWidth="1"/>
    <col min="9" max="9" width="40" customWidth="1"/>
    <col min="10" max="10" width="37.28515625" customWidth="1"/>
    <col min="11" max="11" width="53.28515625" customWidth="1"/>
  </cols>
  <sheetData>
    <row r="1" spans="1:11" ht="21">
      <c r="A1" s="311" t="s">
        <v>2119</v>
      </c>
      <c r="B1" s="311"/>
      <c r="C1" s="311"/>
      <c r="D1" s="311"/>
      <c r="E1" s="311"/>
      <c r="F1" s="311"/>
      <c r="G1" s="311"/>
      <c r="H1" s="311"/>
      <c r="I1" s="311"/>
      <c r="J1" s="311"/>
    </row>
    <row r="2" spans="1:11">
      <c r="A2" s="304" t="s">
        <v>2120</v>
      </c>
      <c r="B2" s="304"/>
      <c r="C2" s="304"/>
      <c r="D2" s="304"/>
      <c r="E2" s="304"/>
      <c r="F2" s="304"/>
      <c r="G2" s="304"/>
      <c r="H2" s="304"/>
      <c r="I2" s="304"/>
      <c r="J2" s="304"/>
    </row>
    <row r="4" spans="1:11">
      <c r="A4" s="109" t="s">
        <v>1728</v>
      </c>
      <c r="B4" s="109" t="s">
        <v>0</v>
      </c>
      <c r="C4" s="109" t="s">
        <v>252</v>
      </c>
      <c r="D4" s="109" t="s">
        <v>251</v>
      </c>
      <c r="E4" s="109" t="s">
        <v>2121</v>
      </c>
      <c r="F4" s="109" t="s">
        <v>6</v>
      </c>
      <c r="G4" s="109" t="s">
        <v>2122</v>
      </c>
      <c r="H4" s="109" t="s">
        <v>9</v>
      </c>
      <c r="I4" s="109" t="s">
        <v>2123</v>
      </c>
      <c r="J4" s="109" t="s">
        <v>2124</v>
      </c>
      <c r="K4" s="274" t="s">
        <v>4539</v>
      </c>
    </row>
    <row r="5" spans="1:11" ht="38.25">
      <c r="A5" s="96">
        <v>1</v>
      </c>
      <c r="B5" s="98" t="s">
        <v>4435</v>
      </c>
      <c r="C5" s="265" t="s">
        <v>4436</v>
      </c>
      <c r="D5" s="96" t="s">
        <v>2382</v>
      </c>
      <c r="E5" s="96" t="s">
        <v>2140</v>
      </c>
      <c r="F5" s="96" t="s">
        <v>4437</v>
      </c>
      <c r="G5" s="96" t="s">
        <v>4438</v>
      </c>
      <c r="H5" s="96" t="s">
        <v>4439</v>
      </c>
      <c r="I5" s="96" t="s">
        <v>4440</v>
      </c>
      <c r="J5" s="113" t="str">
        <f>HYPERLINK("https://github.com/kgretzky/evilginx2","github.com/kgretzky/evilginx2")</f>
        <v>github.com/kgretzky/evilginx2</v>
      </c>
      <c r="K5" s="96" t="s">
        <v>4540</v>
      </c>
    </row>
    <row r="6" spans="1:11" ht="38.25">
      <c r="A6" s="96">
        <v>2</v>
      </c>
      <c r="B6" s="98" t="s">
        <v>4435</v>
      </c>
      <c r="C6" s="271" t="s">
        <v>4441</v>
      </c>
      <c r="D6" s="96" t="s">
        <v>2382</v>
      </c>
      <c r="E6" s="96" t="s">
        <v>2140</v>
      </c>
      <c r="F6" s="96" t="s">
        <v>4442</v>
      </c>
      <c r="G6" s="96" t="s">
        <v>4443</v>
      </c>
      <c r="H6" s="96" t="s">
        <v>4444</v>
      </c>
      <c r="I6" s="96" t="s">
        <v>4445</v>
      </c>
      <c r="J6" s="113" t="str">
        <f>HYPERLINK("https://github.com/gophish/gophish","github.com/gophish/gophish")</f>
        <v>github.com/gophish/gophish</v>
      </c>
      <c r="K6" s="96" t="s">
        <v>4541</v>
      </c>
    </row>
    <row r="7" spans="1:11" ht="38.25">
      <c r="A7" s="96">
        <v>3</v>
      </c>
      <c r="B7" s="98" t="s">
        <v>4435</v>
      </c>
      <c r="C7" s="271" t="s">
        <v>4446</v>
      </c>
      <c r="D7" s="96" t="s">
        <v>2159</v>
      </c>
      <c r="E7" s="96" t="s">
        <v>2140</v>
      </c>
      <c r="F7" s="96" t="s">
        <v>4447</v>
      </c>
      <c r="G7" s="96" t="s">
        <v>4448</v>
      </c>
      <c r="H7" s="96" t="s">
        <v>4449</v>
      </c>
      <c r="I7" s="96" t="s">
        <v>4450</v>
      </c>
      <c r="J7" s="113" t="str">
        <f>HYPERLINK("https://github.com/trustedsec/social-engineer-toolkit","github.com/trustedsec/social-engineer-toolkit")</f>
        <v>github.com/trustedsec/social-engineer-toolkit</v>
      </c>
      <c r="K7" s="96" t="s">
        <v>4542</v>
      </c>
    </row>
    <row r="8" spans="1:11" ht="30">
      <c r="A8" s="114">
        <v>4</v>
      </c>
      <c r="B8" s="120" t="s">
        <v>1742</v>
      </c>
      <c r="C8" s="272" t="s">
        <v>2164</v>
      </c>
      <c r="D8" s="114" t="s">
        <v>196</v>
      </c>
      <c r="E8" s="114" t="s">
        <v>2127</v>
      </c>
      <c r="F8" s="114" t="s">
        <v>2168</v>
      </c>
      <c r="G8" s="114" t="s">
        <v>2165</v>
      </c>
      <c r="H8" s="114" t="s">
        <v>2166</v>
      </c>
      <c r="I8" s="114" t="s">
        <v>2167</v>
      </c>
      <c r="J8" s="204" t="str">
        <f>HYPERLINK("https://github.com/MichaelGrafnetter/DSInternals","github.com/MichaelGrafnetter/DSInternals")</f>
        <v>github.com/MichaelGrafnetter/DSInternals</v>
      </c>
      <c r="K8" s="114" t="s">
        <v>4543</v>
      </c>
    </row>
    <row r="9" spans="1:11" ht="76.5">
      <c r="A9" s="96">
        <v>5</v>
      </c>
      <c r="B9" s="98" t="s">
        <v>1742</v>
      </c>
      <c r="C9" s="271" t="s">
        <v>2381</v>
      </c>
      <c r="D9" s="96" t="s">
        <v>2382</v>
      </c>
      <c r="E9" s="96" t="s">
        <v>2383</v>
      </c>
      <c r="F9" s="96" t="s">
        <v>2384</v>
      </c>
      <c r="G9" s="96" t="s">
        <v>2385</v>
      </c>
      <c r="H9" s="96" t="s">
        <v>2386</v>
      </c>
      <c r="I9" s="96" t="s">
        <v>2387</v>
      </c>
      <c r="J9" s="113" t="str">
        <f>HYPERLINK("https://github.com/moond4rk/HackBrowserData","github.com/moond4rk/HackBrowserData")</f>
        <v>github.com/moond4rk/HackBrowserData</v>
      </c>
      <c r="K9" s="96" t="s">
        <v>4544</v>
      </c>
    </row>
    <row r="10" spans="1:11" ht="25.5">
      <c r="A10" s="116">
        <v>6</v>
      </c>
      <c r="B10" s="121" t="s">
        <v>1742</v>
      </c>
      <c r="C10" s="273" t="s">
        <v>2169</v>
      </c>
      <c r="D10" s="116" t="s">
        <v>2170</v>
      </c>
      <c r="E10" s="116" t="s">
        <v>2140</v>
      </c>
      <c r="F10" s="116" t="s">
        <v>2174</v>
      </c>
      <c r="G10" s="116" t="s">
        <v>2171</v>
      </c>
      <c r="H10" s="116" t="s">
        <v>2172</v>
      </c>
      <c r="I10" s="116" t="s">
        <v>2173</v>
      </c>
      <c r="J10" s="270" t="str">
        <f>HYPERLINK("https://hashcat.net/hashcat/","hashcat.net")</f>
        <v>hashcat.net</v>
      </c>
      <c r="K10" s="116" t="s">
        <v>4545</v>
      </c>
    </row>
    <row r="11" spans="1:11" ht="38.25">
      <c r="A11" s="96">
        <v>7</v>
      </c>
      <c r="B11" s="98" t="s">
        <v>1742</v>
      </c>
      <c r="C11" s="265" t="s">
        <v>2138</v>
      </c>
      <c r="D11" s="96" t="s">
        <v>2139</v>
      </c>
      <c r="E11" s="96" t="s">
        <v>2140</v>
      </c>
      <c r="F11" s="96" t="s">
        <v>2144</v>
      </c>
      <c r="G11" s="96" t="s">
        <v>2141</v>
      </c>
      <c r="H11" s="96" t="s">
        <v>2142</v>
      </c>
      <c r="I11" s="96" t="s">
        <v>2143</v>
      </c>
      <c r="J11" s="113" t="str">
        <f>HYPERLINK("https://github.com/fortra/impacket","github.com/fortra/impacket")</f>
        <v>github.com/fortra/impacket</v>
      </c>
      <c r="K11" s="96" t="s">
        <v>4546</v>
      </c>
    </row>
    <row r="12" spans="1:11" ht="25.5">
      <c r="A12" s="96">
        <v>8</v>
      </c>
      <c r="B12" s="98" t="s">
        <v>1742</v>
      </c>
      <c r="C12" s="271" t="s">
        <v>2145</v>
      </c>
      <c r="D12" s="96" t="s">
        <v>2146</v>
      </c>
      <c r="E12" s="96" t="s">
        <v>2147</v>
      </c>
      <c r="F12" s="96" t="s">
        <v>2151</v>
      </c>
      <c r="G12" s="96" t="s">
        <v>2148</v>
      </c>
      <c r="H12" s="96" t="s">
        <v>2149</v>
      </c>
      <c r="I12" s="96" t="s">
        <v>2150</v>
      </c>
      <c r="J12" s="113" t="str">
        <f>HYPERLINK("https://github.com/AlessandroZ/LaZagne","github.com/AlessandroZ/LaZagne")</f>
        <v>github.com/AlessandroZ/LaZagne</v>
      </c>
      <c r="K12" s="96" t="s">
        <v>4547</v>
      </c>
    </row>
    <row r="13" spans="1:11" ht="38.25">
      <c r="A13" s="96">
        <v>9</v>
      </c>
      <c r="B13" s="98" t="s">
        <v>1742</v>
      </c>
      <c r="C13" s="265" t="s">
        <v>2125</v>
      </c>
      <c r="D13" s="96" t="s">
        <v>2126</v>
      </c>
      <c r="E13" s="96" t="s">
        <v>2127</v>
      </c>
      <c r="F13" s="96" t="s">
        <v>2131</v>
      </c>
      <c r="G13" s="96" t="s">
        <v>2128</v>
      </c>
      <c r="H13" s="96" t="s">
        <v>2129</v>
      </c>
      <c r="I13" s="96" t="s">
        <v>2130</v>
      </c>
      <c r="J13" s="113" t="str">
        <f>HYPERLINK("https://github.com/gentilkiwi/mimikatz","github.com/gentilkiwi/mimikatz")</f>
        <v>github.com/gentilkiwi/mimikatz</v>
      </c>
      <c r="K13" s="96" t="s">
        <v>4548</v>
      </c>
    </row>
    <row r="14" spans="1:11" ht="30">
      <c r="A14" s="96">
        <v>10</v>
      </c>
      <c r="B14" s="97" t="s">
        <v>1742</v>
      </c>
      <c r="C14" s="271" t="s">
        <v>2152</v>
      </c>
      <c r="D14" s="96" t="s">
        <v>2153</v>
      </c>
      <c r="E14" s="96" t="s">
        <v>2127</v>
      </c>
      <c r="F14" s="96" t="s">
        <v>2157</v>
      </c>
      <c r="G14" s="96" t="s">
        <v>2154</v>
      </c>
      <c r="H14" s="96" t="s">
        <v>2155</v>
      </c>
      <c r="I14" s="96" t="s">
        <v>2156</v>
      </c>
      <c r="J14" s="113" t="str">
        <f>HYPERLINK("https://learn.microsoft.com/sysinternals/downloads/procdump","learn.microsoft.com/sysinternals/procdump")</f>
        <v>learn.microsoft.com/sysinternals/procdump</v>
      </c>
      <c r="K14" s="96" t="s">
        <v>4549</v>
      </c>
    </row>
    <row r="15" spans="1:11" ht="25.5">
      <c r="A15" s="96">
        <v>11</v>
      </c>
      <c r="B15" s="97" t="s">
        <v>1742</v>
      </c>
      <c r="C15" s="271" t="s">
        <v>2158</v>
      </c>
      <c r="D15" s="96" t="s">
        <v>2159</v>
      </c>
      <c r="E15" s="96" t="s">
        <v>2140</v>
      </c>
      <c r="F15" s="96" t="s">
        <v>2163</v>
      </c>
      <c r="G15" s="96" t="s">
        <v>2160</v>
      </c>
      <c r="H15" s="96" t="s">
        <v>2161</v>
      </c>
      <c r="I15" s="96" t="s">
        <v>2162</v>
      </c>
      <c r="J15" s="113" t="str">
        <f>HYPERLINK("https://github.com/skelsec/pypykatz","github.com/skelsec/pypykatz")</f>
        <v>github.com/skelsec/pypykatz</v>
      </c>
      <c r="K15" s="96" t="s">
        <v>4550</v>
      </c>
    </row>
    <row r="16" spans="1:11" ht="25.5">
      <c r="A16" s="96">
        <v>12</v>
      </c>
      <c r="B16" s="101" t="s">
        <v>1742</v>
      </c>
      <c r="C16" s="265" t="s">
        <v>2132</v>
      </c>
      <c r="D16" s="96" t="s">
        <v>2133</v>
      </c>
      <c r="E16" s="96" t="s">
        <v>2127</v>
      </c>
      <c r="F16" s="96" t="s">
        <v>2137</v>
      </c>
      <c r="G16" s="96" t="s">
        <v>2134</v>
      </c>
      <c r="H16" s="96" t="s">
        <v>2135</v>
      </c>
      <c r="I16" s="96" t="s">
        <v>2136</v>
      </c>
      <c r="J16" s="113" t="str">
        <f>HYPERLINK("https://github.com/GhostPack/Rubeus","github.com/GhostPack/Rubeus")</f>
        <v>github.com/GhostPack/Rubeus</v>
      </c>
      <c r="K16" s="96" t="s">
        <v>4551</v>
      </c>
    </row>
    <row r="17" spans="1:11" ht="25.5">
      <c r="A17" s="96">
        <v>13</v>
      </c>
      <c r="B17" s="97" t="s">
        <v>2175</v>
      </c>
      <c r="C17" s="271" t="s">
        <v>2188</v>
      </c>
      <c r="D17" s="96" t="s">
        <v>2189</v>
      </c>
      <c r="E17" s="96" t="s">
        <v>2127</v>
      </c>
      <c r="F17" s="96" t="s">
        <v>2193</v>
      </c>
      <c r="G17" s="96" t="s">
        <v>2190</v>
      </c>
      <c r="H17" s="96" t="s">
        <v>2191</v>
      </c>
      <c r="I17" s="96" t="s">
        <v>2192</v>
      </c>
      <c r="J17" s="113" t="str">
        <f>HYPERLINK("https://github.com/sense-of-security/ADRecon","github.com/sense-of-security/ADRecon")</f>
        <v>github.com/sense-of-security/ADRecon</v>
      </c>
      <c r="K17" s="96" t="s">
        <v>4552</v>
      </c>
    </row>
    <row r="18" spans="1:11" ht="25.5">
      <c r="A18" s="96">
        <v>14</v>
      </c>
      <c r="B18" s="97" t="s">
        <v>2175</v>
      </c>
      <c r="C18" s="265" t="s">
        <v>2176</v>
      </c>
      <c r="D18" s="96" t="s">
        <v>2177</v>
      </c>
      <c r="E18" s="96" t="s">
        <v>2178</v>
      </c>
      <c r="F18" s="96" t="s">
        <v>2182</v>
      </c>
      <c r="G18" s="96" t="s">
        <v>2179</v>
      </c>
      <c r="H18" s="96" t="s">
        <v>2180</v>
      </c>
      <c r="I18" s="96" t="s">
        <v>2181</v>
      </c>
      <c r="J18" s="113" t="str">
        <f>HYPERLINK("https://github.com/SpecterOps/BloodHound","github.com/SpecterOps/BloodHound")</f>
        <v>github.com/SpecterOps/BloodHound</v>
      </c>
      <c r="K18" s="96" t="s">
        <v>4553</v>
      </c>
    </row>
    <row r="19" spans="1:11" ht="25.5">
      <c r="A19" s="96">
        <v>15</v>
      </c>
      <c r="B19" s="97" t="s">
        <v>2175</v>
      </c>
      <c r="C19" s="271" t="s">
        <v>2194</v>
      </c>
      <c r="D19" s="96" t="s">
        <v>2195</v>
      </c>
      <c r="E19" s="96" t="s">
        <v>2140</v>
      </c>
      <c r="F19" s="96" t="s">
        <v>2199</v>
      </c>
      <c r="G19" s="96" t="s">
        <v>2196</v>
      </c>
      <c r="H19" s="96" t="s">
        <v>2197</v>
      </c>
      <c r="I19" s="96" t="s">
        <v>2198</v>
      </c>
      <c r="J19" s="113" t="str">
        <f>HYPERLINK("https://nmap.org/","nmap.org")</f>
        <v>nmap.org</v>
      </c>
      <c r="K19" s="96" t="s">
        <v>4554</v>
      </c>
    </row>
    <row r="20" spans="1:11" ht="38.25">
      <c r="A20" s="96">
        <v>16</v>
      </c>
      <c r="B20" s="99" t="s">
        <v>2175</v>
      </c>
      <c r="C20" s="271" t="s">
        <v>2183</v>
      </c>
      <c r="D20" s="96" t="s">
        <v>196</v>
      </c>
      <c r="E20" s="96" t="s">
        <v>2127</v>
      </c>
      <c r="F20" s="96" t="s">
        <v>2187</v>
      </c>
      <c r="G20" s="96" t="s">
        <v>2184</v>
      </c>
      <c r="H20" s="96" t="s">
        <v>2185</v>
      </c>
      <c r="I20" s="96" t="s">
        <v>2186</v>
      </c>
      <c r="J20" s="113" t="str">
        <f>HYPERLINK("https://github.com/PowerShellMafia/PowerSploit","github.com/PowerShellMafia/PowerSploit")</f>
        <v>github.com/PowerShellMafia/PowerSploit</v>
      </c>
      <c r="K20" s="96" t="s">
        <v>4555</v>
      </c>
    </row>
    <row r="21" spans="1:11" ht="51">
      <c r="A21" s="96">
        <v>17</v>
      </c>
      <c r="B21" s="99" t="s">
        <v>1798</v>
      </c>
      <c r="C21" s="271" t="s">
        <v>2445</v>
      </c>
      <c r="D21" s="96" t="s">
        <v>196</v>
      </c>
      <c r="E21" s="96" t="s">
        <v>2127</v>
      </c>
      <c r="F21" s="96" t="s">
        <v>2446</v>
      </c>
      <c r="G21" s="96" t="s">
        <v>2447</v>
      </c>
      <c r="H21" s="96" t="s">
        <v>2448</v>
      </c>
      <c r="I21" s="96" t="s">
        <v>2449</v>
      </c>
      <c r="J21" s="113" t="str">
        <f>HYPERLINK("https://github.com/PowerShellMafia/PowerSploit/tree/master/Privesc","github.com/PowerShellMafia/PowerSploit/Privesc")</f>
        <v>github.com/PowerShellMafia/PowerSploit/Privesc</v>
      </c>
      <c r="K21" s="96" t="s">
        <v>4556</v>
      </c>
    </row>
    <row r="22" spans="1:11" ht="38.25">
      <c r="A22" s="96">
        <v>18</v>
      </c>
      <c r="B22" s="99" t="s">
        <v>4419</v>
      </c>
      <c r="C22" s="271" t="s">
        <v>4420</v>
      </c>
      <c r="D22" s="96" t="s">
        <v>2265</v>
      </c>
      <c r="E22" s="96" t="s">
        <v>2127</v>
      </c>
      <c r="F22" s="96" t="s">
        <v>4421</v>
      </c>
      <c r="G22" s="96" t="s">
        <v>4422</v>
      </c>
      <c r="H22" s="96" t="s">
        <v>4423</v>
      </c>
      <c r="I22" s="96" t="s">
        <v>4424</v>
      </c>
      <c r="J22" s="113" t="str">
        <f>HYPERLINK("https://github.com/GhostPack/Seatbelt","github.com/GhostPack/Seatbelt")</f>
        <v>github.com/GhostPack/Seatbelt</v>
      </c>
      <c r="K22" s="96" t="s">
        <v>4557</v>
      </c>
    </row>
    <row r="23" spans="1:11" ht="38.25">
      <c r="A23" s="96">
        <v>19</v>
      </c>
      <c r="B23" s="99" t="s">
        <v>4419</v>
      </c>
      <c r="C23" s="271" t="s">
        <v>4425</v>
      </c>
      <c r="D23" s="96" t="s">
        <v>2265</v>
      </c>
      <c r="E23" s="96" t="s">
        <v>2127</v>
      </c>
      <c r="F23" s="96" t="s">
        <v>4426</v>
      </c>
      <c r="G23" s="96" t="s">
        <v>4427</v>
      </c>
      <c r="H23" s="96" t="s">
        <v>4428</v>
      </c>
      <c r="I23" s="96" t="s">
        <v>4429</v>
      </c>
      <c r="J23" s="113" t="str">
        <f>HYPERLINK("https://github.com/GhostPack/SharpUp","github.com/GhostPack/SharpUp")</f>
        <v>github.com/GhostPack/SharpUp</v>
      </c>
      <c r="K23" s="96" t="s">
        <v>4558</v>
      </c>
    </row>
    <row r="24" spans="1:11" ht="38.25">
      <c r="A24" s="114">
        <v>20</v>
      </c>
      <c r="B24" s="115" t="s">
        <v>4419</v>
      </c>
      <c r="C24" s="272" t="s">
        <v>4430</v>
      </c>
      <c r="D24" s="114" t="s">
        <v>2265</v>
      </c>
      <c r="E24" s="114" t="s">
        <v>2127</v>
      </c>
      <c r="F24" s="114" t="s">
        <v>4431</v>
      </c>
      <c r="G24" s="114" t="s">
        <v>4432</v>
      </c>
      <c r="H24" s="114" t="s">
        <v>4433</v>
      </c>
      <c r="I24" s="114" t="s">
        <v>4434</v>
      </c>
      <c r="J24" s="204" t="str">
        <f>HYPERLINK("https://github.com/tevora-threat/SharpView","github.com/tevora-threat/SharpView")</f>
        <v>github.com/tevora-threat/SharpView</v>
      </c>
      <c r="K24" s="114" t="s">
        <v>4559</v>
      </c>
    </row>
    <row r="25" spans="1:11" ht="38.25">
      <c r="A25" s="96">
        <v>21</v>
      </c>
      <c r="B25" s="99" t="s">
        <v>4382</v>
      </c>
      <c r="C25" s="271" t="s">
        <v>4393</v>
      </c>
      <c r="D25" s="96" t="s">
        <v>2159</v>
      </c>
      <c r="E25" s="96" t="s">
        <v>2140</v>
      </c>
      <c r="F25" s="96" t="s">
        <v>4394</v>
      </c>
      <c r="G25" s="96" t="s">
        <v>4395</v>
      </c>
      <c r="H25" s="96" t="s">
        <v>4396</v>
      </c>
      <c r="I25" s="96" t="s">
        <v>4397</v>
      </c>
      <c r="J25" s="113" t="str">
        <f>HYPERLINK("https://github.com/p0dalirius/Coercer","github.com/p0dalirius/Coercer")</f>
        <v>github.com/p0dalirius/Coercer</v>
      </c>
      <c r="K25" s="96" t="s">
        <v>4560</v>
      </c>
    </row>
    <row r="26" spans="1:11" ht="38.25">
      <c r="A26" s="116">
        <v>22</v>
      </c>
      <c r="B26" s="117" t="s">
        <v>4382</v>
      </c>
      <c r="C26" s="266" t="s">
        <v>4383</v>
      </c>
      <c r="D26" s="116" t="s">
        <v>2159</v>
      </c>
      <c r="E26" s="116" t="s">
        <v>2140</v>
      </c>
      <c r="F26" s="116" t="s">
        <v>4384</v>
      </c>
      <c r="G26" s="116" t="s">
        <v>4385</v>
      </c>
      <c r="H26" s="116" t="s">
        <v>4386</v>
      </c>
      <c r="I26" s="116" t="s">
        <v>4387</v>
      </c>
      <c r="J26" s="270" t="str">
        <f>HYPERLINK("https://github.com/lgandx/Responder","github.com/lgandx/Responder")</f>
        <v>github.com/lgandx/Responder</v>
      </c>
      <c r="K26" s="116" t="s">
        <v>4561</v>
      </c>
    </row>
    <row r="27" spans="1:11" ht="38.25">
      <c r="A27" s="96">
        <v>23</v>
      </c>
      <c r="B27" s="110" t="s">
        <v>4382</v>
      </c>
      <c r="C27" s="271" t="s">
        <v>4398</v>
      </c>
      <c r="D27" s="96" t="s">
        <v>2159</v>
      </c>
      <c r="E27" s="96" t="s">
        <v>2140</v>
      </c>
      <c r="F27" s="96" t="s">
        <v>4399</v>
      </c>
      <c r="G27" s="96" t="s">
        <v>4400</v>
      </c>
      <c r="H27" s="96" t="s">
        <v>4401</v>
      </c>
      <c r="I27" s="96" t="s">
        <v>4402</v>
      </c>
      <c r="J27" s="113" t="str">
        <f>HYPERLINK("https://github.com/dirkjanm/mitm6","github.com/dirkjanm/mitm6")</f>
        <v>github.com/dirkjanm/mitm6</v>
      </c>
      <c r="K27" s="96" t="s">
        <v>4562</v>
      </c>
    </row>
    <row r="28" spans="1:11" ht="38.25">
      <c r="A28" s="96">
        <v>24</v>
      </c>
      <c r="B28" s="110" t="s">
        <v>4382</v>
      </c>
      <c r="C28" s="271" t="s">
        <v>4388</v>
      </c>
      <c r="D28" s="96" t="s">
        <v>2159</v>
      </c>
      <c r="E28" s="96" t="s">
        <v>2140</v>
      </c>
      <c r="F28" s="96" t="s">
        <v>4389</v>
      </c>
      <c r="G28" s="96" t="s">
        <v>4390</v>
      </c>
      <c r="H28" s="96" t="s">
        <v>4391</v>
      </c>
      <c r="I28" s="96" t="s">
        <v>4392</v>
      </c>
      <c r="J28" s="113" t="str">
        <f>HYPERLINK("https://github.com/fortra/impacket","github.com/fortra/impacket")</f>
        <v>github.com/fortra/impacket</v>
      </c>
      <c r="K28" s="96" t="s">
        <v>4563</v>
      </c>
    </row>
    <row r="29" spans="1:11" ht="38.25">
      <c r="A29" s="96">
        <v>25</v>
      </c>
      <c r="B29" s="110" t="s">
        <v>4403</v>
      </c>
      <c r="C29" s="271" t="s">
        <v>4414</v>
      </c>
      <c r="D29" s="96" t="s">
        <v>2265</v>
      </c>
      <c r="E29" s="96" t="s">
        <v>2127</v>
      </c>
      <c r="F29" s="96" t="s">
        <v>4415</v>
      </c>
      <c r="G29" s="96" t="s">
        <v>4416</v>
      </c>
      <c r="H29" s="96" t="s">
        <v>4417</v>
      </c>
      <c r="I29" s="96" t="s">
        <v>4418</v>
      </c>
      <c r="J29" s="113" t="str">
        <f>HYPERLINK("https://github.com/GhostPack/Certify","github.com/GhostPack/Certify")</f>
        <v>github.com/GhostPack/Certify</v>
      </c>
      <c r="K29" s="96" t="s">
        <v>4564</v>
      </c>
    </row>
    <row r="30" spans="1:11" ht="38.25">
      <c r="A30" s="96">
        <v>26</v>
      </c>
      <c r="B30" s="110" t="s">
        <v>4403</v>
      </c>
      <c r="C30" s="265" t="s">
        <v>4404</v>
      </c>
      <c r="D30" s="96" t="s">
        <v>2159</v>
      </c>
      <c r="E30" s="96" t="s">
        <v>2140</v>
      </c>
      <c r="F30" s="96" t="s">
        <v>4405</v>
      </c>
      <c r="G30" s="96" t="s">
        <v>4406</v>
      </c>
      <c r="H30" s="96" t="s">
        <v>4407</v>
      </c>
      <c r="I30" s="96" t="s">
        <v>4408</v>
      </c>
      <c r="J30" s="113" t="str">
        <f>HYPERLINK("https://github.com/ly4k/Certipy","github.com/ly4k/Certipy")</f>
        <v>github.com/ly4k/Certipy</v>
      </c>
      <c r="K30" s="96" t="s">
        <v>4565</v>
      </c>
    </row>
    <row r="31" spans="1:11" ht="38.25">
      <c r="A31" s="114">
        <v>27</v>
      </c>
      <c r="B31" s="118" t="s">
        <v>4403</v>
      </c>
      <c r="C31" s="272" t="s">
        <v>4409</v>
      </c>
      <c r="D31" s="114" t="s">
        <v>2382</v>
      </c>
      <c r="E31" s="114" t="s">
        <v>2140</v>
      </c>
      <c r="F31" s="114" t="s">
        <v>4410</v>
      </c>
      <c r="G31" s="114" t="s">
        <v>4411</v>
      </c>
      <c r="H31" s="114" t="s">
        <v>4412</v>
      </c>
      <c r="I31" s="114" t="s">
        <v>4413</v>
      </c>
      <c r="J31" s="204" t="str">
        <f>HYPERLINK("https://github.com/ropnop/kerbrute","github.com/ropnop/kerbrute")</f>
        <v>github.com/ropnop/kerbrute</v>
      </c>
      <c r="K31" s="114" t="s">
        <v>4566</v>
      </c>
    </row>
    <row r="32" spans="1:11" ht="25.5">
      <c r="A32" s="96">
        <v>28</v>
      </c>
      <c r="B32" s="110" t="s">
        <v>1774</v>
      </c>
      <c r="C32" s="265" t="s">
        <v>2211</v>
      </c>
      <c r="D32" s="96" t="s">
        <v>2212</v>
      </c>
      <c r="E32" s="96" t="s">
        <v>2140</v>
      </c>
      <c r="F32" s="96" t="s">
        <v>2216</v>
      </c>
      <c r="G32" s="96" t="s">
        <v>2213</v>
      </c>
      <c r="H32" s="96" t="s">
        <v>2214</v>
      </c>
      <c r="I32" s="96" t="s">
        <v>2215</v>
      </c>
      <c r="J32" s="113" t="str">
        <f>HYPERLINK("https://github.com/Pennyw0rth/NetExec","github.com/Pennyw0rth/NetExec")</f>
        <v>github.com/Pennyw0rth/NetExec</v>
      </c>
      <c r="K32" s="96" t="s">
        <v>4567</v>
      </c>
    </row>
    <row r="33" spans="1:11" ht="25.5">
      <c r="A33" s="116">
        <v>29</v>
      </c>
      <c r="B33" s="119" t="s">
        <v>1774</v>
      </c>
      <c r="C33" s="273" t="s">
        <v>2217</v>
      </c>
      <c r="D33" s="116" t="s">
        <v>2218</v>
      </c>
      <c r="E33" s="116" t="s">
        <v>2140</v>
      </c>
      <c r="F33" s="116" t="s">
        <v>2221</v>
      </c>
      <c r="G33" s="116" t="s">
        <v>2219</v>
      </c>
      <c r="H33" s="116" t="s">
        <v>1951</v>
      </c>
      <c r="I33" s="116" t="s">
        <v>2220</v>
      </c>
      <c r="J33" s="270" t="str">
        <f>HYPERLINK("https://github.com/Hackplayers/evil-winrm","github.com/Hackplayers/evil-winrm")</f>
        <v>github.com/Hackplayers/evil-winrm</v>
      </c>
      <c r="K33" s="116" t="s">
        <v>4568</v>
      </c>
    </row>
    <row r="34" spans="1:11" ht="25.5">
      <c r="A34" s="96">
        <v>30</v>
      </c>
      <c r="B34" s="100" t="s">
        <v>1774</v>
      </c>
      <c r="C34" s="271" t="s">
        <v>2205</v>
      </c>
      <c r="D34" s="96" t="s">
        <v>2206</v>
      </c>
      <c r="E34" s="96" t="s">
        <v>2140</v>
      </c>
      <c r="F34" s="96" t="s">
        <v>2210</v>
      </c>
      <c r="G34" s="96" t="s">
        <v>2207</v>
      </c>
      <c r="H34" s="96" t="s">
        <v>2208</v>
      </c>
      <c r="I34" s="96" t="s">
        <v>2209</v>
      </c>
      <c r="J34" s="113" t="str">
        <f>HYPERLINK("https://github.com/fortra/impacket","github.com/fortra/impacket")</f>
        <v>github.com/fortra/impacket</v>
      </c>
      <c r="K34" s="96" t="s">
        <v>4569</v>
      </c>
    </row>
    <row r="35" spans="1:11" ht="30">
      <c r="A35" s="96">
        <v>31</v>
      </c>
      <c r="B35" s="100" t="s">
        <v>1774</v>
      </c>
      <c r="C35" s="265" t="s">
        <v>2200</v>
      </c>
      <c r="D35" s="96" t="s">
        <v>2126</v>
      </c>
      <c r="E35" s="96" t="s">
        <v>2127</v>
      </c>
      <c r="F35" s="96" t="s">
        <v>2204</v>
      </c>
      <c r="G35" s="96" t="s">
        <v>2201</v>
      </c>
      <c r="H35" s="96" t="s">
        <v>2202</v>
      </c>
      <c r="I35" s="96" t="s">
        <v>2203</v>
      </c>
      <c r="J35" s="113" t="str">
        <f>HYPERLINK("https://learn.microsoft.com/sysinternals/downloads/psexec","learn.microsoft.com/sysinternals/psexec")</f>
        <v>learn.microsoft.com/sysinternals/psexec</v>
      </c>
      <c r="K35" s="96" t="s">
        <v>4570</v>
      </c>
    </row>
    <row r="36" spans="1:11" ht="25.5">
      <c r="A36" s="96">
        <v>32</v>
      </c>
      <c r="B36" s="102" t="s">
        <v>1774</v>
      </c>
      <c r="C36" s="271" t="s">
        <v>2222</v>
      </c>
      <c r="D36" s="96" t="s">
        <v>2223</v>
      </c>
      <c r="E36" s="96" t="s">
        <v>2127</v>
      </c>
      <c r="F36" s="96" t="s">
        <v>2227</v>
      </c>
      <c r="G36" s="96" t="s">
        <v>2224</v>
      </c>
      <c r="H36" s="96" t="s">
        <v>2225</v>
      </c>
      <c r="I36" s="96" t="s">
        <v>2226</v>
      </c>
      <c r="J36" s="113" t="str">
        <f>HYPERLINK("https://github.com/stascorp/rdpwrap","github.com/stascorp/rdpwrap")</f>
        <v>github.com/stascorp/rdpwrap</v>
      </c>
      <c r="K36" s="96" t="s">
        <v>4571</v>
      </c>
    </row>
    <row r="37" spans="1:11" ht="51">
      <c r="A37" s="96">
        <v>33</v>
      </c>
      <c r="B37" s="102" t="s">
        <v>1774</v>
      </c>
      <c r="C37" s="271" t="s">
        <v>2367</v>
      </c>
      <c r="D37" s="96" t="s">
        <v>2368</v>
      </c>
      <c r="E37" s="96" t="s">
        <v>2369</v>
      </c>
      <c r="F37" s="96" t="s">
        <v>2373</v>
      </c>
      <c r="G37" s="96" t="s">
        <v>2370</v>
      </c>
      <c r="H37" s="96" t="s">
        <v>2371</v>
      </c>
      <c r="I37" s="96" t="s">
        <v>2372</v>
      </c>
      <c r="J37" s="113" t="str">
        <f>HYPERLINK("https://github.com/nicocha30/ligolo-ng","github.com/nicocha30/ligolo-ng")</f>
        <v>github.com/nicocha30/ligolo-ng</v>
      </c>
      <c r="K37" s="96" t="s">
        <v>4572</v>
      </c>
    </row>
    <row r="38" spans="1:11" ht="51">
      <c r="A38" s="96">
        <v>34</v>
      </c>
      <c r="B38" s="102" t="s">
        <v>2228</v>
      </c>
      <c r="C38" s="267" t="s">
        <v>2374</v>
      </c>
      <c r="D38" s="96" t="s">
        <v>2375</v>
      </c>
      <c r="E38" s="96" t="s">
        <v>2376</v>
      </c>
      <c r="F38" s="96" t="s">
        <v>2380</v>
      </c>
      <c r="G38" s="96" t="s">
        <v>2377</v>
      </c>
      <c r="H38" s="96" t="s">
        <v>2378</v>
      </c>
      <c r="I38" s="96" t="s">
        <v>2379</v>
      </c>
      <c r="J38" s="113" t="str">
        <f>HYPERLINK("https://github.com/Adaptix-Framework/AdaptixC2","github.com/Adaptix-Framework/AdaptixC2")</f>
        <v>github.com/Adaptix-Framework/AdaptixC2</v>
      </c>
      <c r="K38" s="96" t="s">
        <v>4573</v>
      </c>
    </row>
    <row r="39" spans="1:11" ht="25.5">
      <c r="A39" s="96">
        <v>35</v>
      </c>
      <c r="B39" s="102" t="s">
        <v>2228</v>
      </c>
      <c r="C39" s="271" t="s">
        <v>2247</v>
      </c>
      <c r="D39" s="96" t="s">
        <v>2230</v>
      </c>
      <c r="E39" s="96" t="s">
        <v>2127</v>
      </c>
      <c r="F39" s="96" t="s">
        <v>2251</v>
      </c>
      <c r="G39" s="96" t="s">
        <v>2248</v>
      </c>
      <c r="H39" s="96" t="s">
        <v>2249</v>
      </c>
      <c r="I39" s="96" t="s">
        <v>2250</v>
      </c>
      <c r="J39" s="113" t="str">
        <f>HYPERLINK("https://bruteratel.com/","bruteratel.com")</f>
        <v>bruteratel.com</v>
      </c>
      <c r="K39" s="96" t="s">
        <v>4574</v>
      </c>
    </row>
    <row r="40" spans="1:11" ht="25.5">
      <c r="A40" s="96">
        <v>36</v>
      </c>
      <c r="B40" s="104" t="s">
        <v>2228</v>
      </c>
      <c r="C40" s="265" t="s">
        <v>2229</v>
      </c>
      <c r="D40" s="96" t="s">
        <v>2230</v>
      </c>
      <c r="E40" s="96" t="s">
        <v>2178</v>
      </c>
      <c r="F40" s="96" t="s">
        <v>2234</v>
      </c>
      <c r="G40" s="96" t="s">
        <v>2231</v>
      </c>
      <c r="H40" s="96" t="s">
        <v>2232</v>
      </c>
      <c r="I40" s="96" t="s">
        <v>2233</v>
      </c>
      <c r="J40" s="113" t="str">
        <f>HYPERLINK("https://www.cobaltstrike.com/","cobaltstrike.com")</f>
        <v>cobaltstrike.com</v>
      </c>
      <c r="K40" s="96" t="s">
        <v>4575</v>
      </c>
    </row>
    <row r="41" spans="1:11" ht="25.5">
      <c r="A41" s="96">
        <v>37</v>
      </c>
      <c r="B41" s="104" t="s">
        <v>2228</v>
      </c>
      <c r="C41" s="271" t="s">
        <v>2252</v>
      </c>
      <c r="D41" s="96" t="s">
        <v>2253</v>
      </c>
      <c r="E41" s="96" t="s">
        <v>2140</v>
      </c>
      <c r="F41" s="96" t="s">
        <v>2257</v>
      </c>
      <c r="G41" s="96" t="s">
        <v>2254</v>
      </c>
      <c r="H41" s="96" t="s">
        <v>2255</v>
      </c>
      <c r="I41" s="96" t="s">
        <v>2256</v>
      </c>
      <c r="J41" s="113" t="str">
        <f>HYPERLINK("https://github.com/BC-SECURITY/Empire","github.com/BC-SECURITY/Empire")</f>
        <v>github.com/BC-SECURITY/Empire</v>
      </c>
      <c r="K41" s="96" t="s">
        <v>4576</v>
      </c>
    </row>
    <row r="42" spans="1:11" ht="25.5">
      <c r="A42" s="96">
        <v>38</v>
      </c>
      <c r="B42" s="101" t="s">
        <v>2228</v>
      </c>
      <c r="C42" s="271" t="s">
        <v>2258</v>
      </c>
      <c r="D42" s="96" t="s">
        <v>2259</v>
      </c>
      <c r="E42" s="96" t="s">
        <v>2140</v>
      </c>
      <c r="F42" s="96" t="s">
        <v>2263</v>
      </c>
      <c r="G42" s="96" t="s">
        <v>2260</v>
      </c>
      <c r="H42" s="96" t="s">
        <v>2261</v>
      </c>
      <c r="I42" s="96" t="s">
        <v>2262</v>
      </c>
      <c r="J42" s="113" t="str">
        <f>HYPERLINK("https://github.com/HavocFramework/Havoc","github.com/HavocFramework/Havoc")</f>
        <v>github.com/HavocFramework/Havoc</v>
      </c>
      <c r="K42" s="96" t="s">
        <v>4577</v>
      </c>
    </row>
    <row r="43" spans="1:11" ht="30">
      <c r="A43" s="96">
        <v>39</v>
      </c>
      <c r="B43" s="101" t="s">
        <v>2228</v>
      </c>
      <c r="C43" s="265" t="s">
        <v>2235</v>
      </c>
      <c r="D43" s="96" t="s">
        <v>2236</v>
      </c>
      <c r="E43" s="96" t="s">
        <v>2140</v>
      </c>
      <c r="F43" s="96" t="s">
        <v>2240</v>
      </c>
      <c r="G43" s="96" t="s">
        <v>2237</v>
      </c>
      <c r="H43" s="96" t="s">
        <v>2238</v>
      </c>
      <c r="I43" s="96" t="s">
        <v>2239</v>
      </c>
      <c r="J43" s="113" t="str">
        <f>HYPERLINK("https://github.com/rapid7/metasploit-framework","github.com/rapid7/metasploit-framework")</f>
        <v>github.com/rapid7/metasploit-framework</v>
      </c>
      <c r="K43" s="96" t="s">
        <v>4578</v>
      </c>
    </row>
    <row r="44" spans="1:11" ht="38.25">
      <c r="A44" s="96">
        <v>40</v>
      </c>
      <c r="B44" s="110" t="s">
        <v>2228</v>
      </c>
      <c r="C44" s="265" t="s">
        <v>2241</v>
      </c>
      <c r="D44" s="96" t="s">
        <v>2242</v>
      </c>
      <c r="E44" s="96" t="s">
        <v>2140</v>
      </c>
      <c r="F44" s="96" t="s">
        <v>2246</v>
      </c>
      <c r="G44" s="96" t="s">
        <v>2243</v>
      </c>
      <c r="H44" s="96" t="s">
        <v>2244</v>
      </c>
      <c r="I44" s="96" t="s">
        <v>2245</v>
      </c>
      <c r="J44" s="113" t="str">
        <f>HYPERLINK("https://github.com/BishopFox/sliver","github.com/BishopFox/sliver")</f>
        <v>github.com/BishopFox/sliver</v>
      </c>
      <c r="K44" s="96" t="s">
        <v>4579</v>
      </c>
    </row>
    <row r="45" spans="1:11" ht="38.25">
      <c r="A45" s="96">
        <v>41</v>
      </c>
      <c r="B45" s="111" t="s">
        <v>1792</v>
      </c>
      <c r="C45" s="271" t="s">
        <v>2276</v>
      </c>
      <c r="D45" s="96" t="s">
        <v>2277</v>
      </c>
      <c r="E45" s="96" t="s">
        <v>2278</v>
      </c>
      <c r="F45" s="96" t="s">
        <v>2282</v>
      </c>
      <c r="G45" s="96" t="s">
        <v>2279</v>
      </c>
      <c r="H45" s="96" t="s">
        <v>2280</v>
      </c>
      <c r="I45" s="96" t="s">
        <v>2281</v>
      </c>
      <c r="J45" s="113" t="str">
        <f>HYPERLINK("https://attack.mitre.org/techniques/T1558/001/","attack.mitre.org/T1558.001")</f>
        <v>attack.mitre.org/T1558.001</v>
      </c>
      <c r="K45" s="96" t="s">
        <v>4580</v>
      </c>
    </row>
    <row r="46" spans="1:11" ht="25.5">
      <c r="A46" s="96">
        <v>42</v>
      </c>
      <c r="B46" s="111" t="s">
        <v>1792</v>
      </c>
      <c r="C46" s="271" t="s">
        <v>2264</v>
      </c>
      <c r="D46" s="96" t="s">
        <v>2265</v>
      </c>
      <c r="E46" s="96" t="s">
        <v>2127</v>
      </c>
      <c r="F46" s="96" t="s">
        <v>2269</v>
      </c>
      <c r="G46" s="96" t="s">
        <v>2266</v>
      </c>
      <c r="H46" s="96" t="s">
        <v>2267</v>
      </c>
      <c r="I46" s="96" t="s">
        <v>2268</v>
      </c>
      <c r="J46" s="113" t="str">
        <f>HYPERLINK("https://github.com/mandiant/SharPersist","github.com/mandiant/SharPersist")</f>
        <v>github.com/mandiant/SharPersist</v>
      </c>
      <c r="K46" s="96" t="s">
        <v>4581</v>
      </c>
    </row>
    <row r="47" spans="1:11" ht="25.5">
      <c r="A47" s="96">
        <v>43</v>
      </c>
      <c r="B47" s="111" t="s">
        <v>1792</v>
      </c>
      <c r="C47" s="271" t="s">
        <v>2270</v>
      </c>
      <c r="D47" s="96" t="s">
        <v>2271</v>
      </c>
      <c r="E47" s="96" t="s">
        <v>2140</v>
      </c>
      <c r="F47" s="96" t="s">
        <v>2275</v>
      </c>
      <c r="G47" s="96" t="s">
        <v>2272</v>
      </c>
      <c r="H47" s="96" t="s">
        <v>2273</v>
      </c>
      <c r="I47" s="96" t="s">
        <v>2274</v>
      </c>
      <c r="J47" s="113" t="str">
        <f>HYPERLINK("https://github.com/BishopFox/sliver","github.com/BishopFox/sliver")</f>
        <v>github.com/BishopFox/sliver</v>
      </c>
      <c r="K47" s="96" t="s">
        <v>4582</v>
      </c>
    </row>
    <row r="48" spans="1:11" ht="38.25">
      <c r="A48" s="96">
        <v>44</v>
      </c>
      <c r="B48" s="111" t="s">
        <v>1804</v>
      </c>
      <c r="C48" s="271" t="s">
        <v>2299</v>
      </c>
      <c r="D48" s="96" t="s">
        <v>2300</v>
      </c>
      <c r="E48" s="96" t="s">
        <v>2127</v>
      </c>
      <c r="F48" s="96" t="s">
        <v>2304</v>
      </c>
      <c r="G48" s="96" t="s">
        <v>2301</v>
      </c>
      <c r="H48" s="96" t="s">
        <v>2302</v>
      </c>
      <c r="I48" s="96" t="s">
        <v>2303</v>
      </c>
      <c r="J48" s="113" t="str">
        <f>HYPERLINK("https://github.com/magicsword-io/LOLDrivers","loldrivers.io")</f>
        <v>loldrivers.io</v>
      </c>
      <c r="K48" s="96" t="s">
        <v>4583</v>
      </c>
    </row>
    <row r="49" spans="1:11" ht="25.5">
      <c r="A49" s="96">
        <v>45</v>
      </c>
      <c r="B49" s="111" t="s">
        <v>1804</v>
      </c>
      <c r="C49" s="271" t="s">
        <v>2288</v>
      </c>
      <c r="D49" s="96" t="s">
        <v>2289</v>
      </c>
      <c r="E49" s="96" t="s">
        <v>2127</v>
      </c>
      <c r="F49" s="96" t="s">
        <v>2293</v>
      </c>
      <c r="G49" s="96" t="s">
        <v>2290</v>
      </c>
      <c r="H49" s="96" t="s">
        <v>2291</v>
      </c>
      <c r="I49" s="96" t="s">
        <v>2292</v>
      </c>
      <c r="J49" s="113" t="str">
        <f>HYPERLINK("https://github.com/TheWover/donut","github.com/TheWover/donut")</f>
        <v>github.com/TheWover/donut</v>
      </c>
      <c r="K49" s="96" t="s">
        <v>4584</v>
      </c>
    </row>
    <row r="50" spans="1:11" ht="25.5">
      <c r="A50" s="96">
        <v>46</v>
      </c>
      <c r="B50" s="98" t="s">
        <v>1804</v>
      </c>
      <c r="C50" s="271" t="s">
        <v>2294</v>
      </c>
      <c r="D50" s="96" t="s">
        <v>2126</v>
      </c>
      <c r="E50" s="96" t="s">
        <v>2127</v>
      </c>
      <c r="F50" s="96" t="s">
        <v>2298</v>
      </c>
      <c r="G50" s="96" t="s">
        <v>2295</v>
      </c>
      <c r="H50" s="96" t="s">
        <v>2296</v>
      </c>
      <c r="I50" s="96" t="s">
        <v>2297</v>
      </c>
      <c r="J50" s="113" t="str">
        <f>HYPERLINK("https://www.gmer.net/","gmer.net")</f>
        <v>gmer.net</v>
      </c>
      <c r="K50" s="96" t="s">
        <v>4585</v>
      </c>
    </row>
    <row r="51" spans="1:11" ht="38.25">
      <c r="A51" s="96">
        <v>47</v>
      </c>
      <c r="B51" s="98" t="s">
        <v>1804</v>
      </c>
      <c r="C51" s="271" t="s">
        <v>2283</v>
      </c>
      <c r="D51" s="96" t="s">
        <v>196</v>
      </c>
      <c r="E51" s="96" t="s">
        <v>2127</v>
      </c>
      <c r="F51" s="96" t="s">
        <v>2287</v>
      </c>
      <c r="G51" s="96" t="s">
        <v>2284</v>
      </c>
      <c r="H51" s="96" t="s">
        <v>2285</v>
      </c>
      <c r="I51" s="96" t="s">
        <v>2286</v>
      </c>
      <c r="J51" s="113" t="str">
        <f>HYPERLINK("https://github.com/danielbohannon/Invoke-Obfuscation","github.com/danielbohannon/Invoke-Obfuscation")</f>
        <v>github.com/danielbohannon/Invoke-Obfuscation</v>
      </c>
      <c r="K51" s="96" t="s">
        <v>4586</v>
      </c>
    </row>
    <row r="52" spans="1:11" ht="38.25">
      <c r="A52" s="96">
        <v>48</v>
      </c>
      <c r="B52" s="98" t="s">
        <v>2320</v>
      </c>
      <c r="C52" s="271" t="s">
        <v>2321</v>
      </c>
      <c r="D52" s="96" t="s">
        <v>2322</v>
      </c>
      <c r="E52" s="96" t="s">
        <v>2140</v>
      </c>
      <c r="F52" s="96" t="s">
        <v>2326</v>
      </c>
      <c r="G52" s="96" t="s">
        <v>2323</v>
      </c>
      <c r="H52" s="96" t="s">
        <v>2324</v>
      </c>
      <c r="I52" s="96" t="s">
        <v>2325</v>
      </c>
      <c r="J52" s="113" t="str">
        <f>HYPERLINK("https://rclone.org/","rclone.org")</f>
        <v>rclone.org</v>
      </c>
      <c r="K52" s="96" t="s">
        <v>4587</v>
      </c>
    </row>
    <row r="53" spans="1:11" ht="25.5">
      <c r="A53" s="96">
        <v>49</v>
      </c>
      <c r="B53" s="98" t="s">
        <v>2320</v>
      </c>
      <c r="C53" s="271" t="s">
        <v>2327</v>
      </c>
      <c r="D53" s="96" t="s">
        <v>2328</v>
      </c>
      <c r="E53" s="96" t="s">
        <v>2127</v>
      </c>
      <c r="F53" s="96" t="s">
        <v>2332</v>
      </c>
      <c r="G53" s="96" t="s">
        <v>2329</v>
      </c>
      <c r="H53" s="96" t="s">
        <v>2330</v>
      </c>
      <c r="I53" s="96" t="s">
        <v>2331</v>
      </c>
      <c r="J53" s="113" t="str">
        <f>HYPERLINK("https://attack.mitre.org/techniques/T1560/001/","attack.mitre.org/T1560.001")</f>
        <v>attack.mitre.org/T1560.001</v>
      </c>
      <c r="K53" s="96" t="s">
        <v>4588</v>
      </c>
    </row>
    <row r="54" spans="1:11" ht="25.5">
      <c r="A54" s="96">
        <v>50</v>
      </c>
      <c r="B54" s="98" t="s">
        <v>2333</v>
      </c>
      <c r="C54" s="271" t="s">
        <v>2334</v>
      </c>
      <c r="D54" s="96" t="s">
        <v>2335</v>
      </c>
      <c r="E54" s="96" t="s">
        <v>2140</v>
      </c>
      <c r="F54" s="96" t="s">
        <v>2339</v>
      </c>
      <c r="G54" s="96" t="s">
        <v>2336</v>
      </c>
      <c r="H54" s="96" t="s">
        <v>2337</v>
      </c>
      <c r="I54" s="96" t="s">
        <v>2338</v>
      </c>
      <c r="J54" s="113" t="str">
        <f>HYPERLINK("https://github.com/jpillora/chisel","github.com/jpillora/chisel")</f>
        <v>github.com/jpillora/chisel</v>
      </c>
      <c r="K54" s="96" t="s">
        <v>4589</v>
      </c>
    </row>
    <row r="55" spans="1:11" ht="38.25">
      <c r="A55" s="96">
        <v>51</v>
      </c>
      <c r="B55" s="98" t="s">
        <v>2305</v>
      </c>
      <c r="C55" s="271" t="s">
        <v>2306</v>
      </c>
      <c r="D55" s="96" t="s">
        <v>2307</v>
      </c>
      <c r="E55" s="96" t="s">
        <v>2308</v>
      </c>
      <c r="F55" s="96" t="s">
        <v>2312</v>
      </c>
      <c r="G55" s="96" t="s">
        <v>2309</v>
      </c>
      <c r="H55" s="96" t="s">
        <v>2310</v>
      </c>
      <c r="I55" s="96" t="s">
        <v>2311</v>
      </c>
      <c r="J55" s="113" t="str">
        <f>HYPERLINK("https://www.cisa.gov/stopransomware","cisa.gov/stopransomware")</f>
        <v>cisa.gov/stopransomware</v>
      </c>
      <c r="K55" s="96" t="s">
        <v>4590</v>
      </c>
    </row>
    <row r="56" spans="1:11" ht="25.5">
      <c r="A56" s="96">
        <v>52</v>
      </c>
      <c r="B56" s="98" t="s">
        <v>2313</v>
      </c>
      <c r="C56" s="271" t="s">
        <v>2314</v>
      </c>
      <c r="D56" s="96" t="s">
        <v>2315</v>
      </c>
      <c r="E56" s="96" t="s">
        <v>2127</v>
      </c>
      <c r="F56" s="96" t="s">
        <v>2319</v>
      </c>
      <c r="G56" s="96" t="s">
        <v>2316</v>
      </c>
      <c r="H56" s="96" t="s">
        <v>2317</v>
      </c>
      <c r="I56" s="96" t="s">
        <v>2318</v>
      </c>
      <c r="J56" s="113" t="str">
        <f>HYPERLINK("https://attack.mitre.org/techniques/T1562/001/","attack.mitre.org/T1562.001")</f>
        <v>attack.mitre.org/T1562.001</v>
      </c>
      <c r="K56" s="96" t="s">
        <v>4591</v>
      </c>
    </row>
    <row r="57" spans="1:11" ht="38.25">
      <c r="A57" s="96">
        <v>53</v>
      </c>
      <c r="B57" s="98" t="s">
        <v>2340</v>
      </c>
      <c r="C57" s="271" t="s">
        <v>2341</v>
      </c>
      <c r="D57" s="96" t="s">
        <v>2342</v>
      </c>
      <c r="E57" s="96" t="s">
        <v>2127</v>
      </c>
      <c r="F57" s="96" t="s">
        <v>2345</v>
      </c>
      <c r="G57" s="96" t="s">
        <v>2343</v>
      </c>
      <c r="H57" s="96" t="s">
        <v>805</v>
      </c>
      <c r="I57" s="96" t="s">
        <v>2344</v>
      </c>
      <c r="J57" s="113" t="str">
        <f>HYPERLINK("https://lolbas-project.github.io/","lolbas-project.github.io")</f>
        <v>lolbas-project.github.io</v>
      </c>
      <c r="K57" s="96" t="s">
        <v>4592</v>
      </c>
    </row>
    <row r="58" spans="1:11" ht="25.5">
      <c r="A58" s="96">
        <v>54</v>
      </c>
      <c r="B58" s="98" t="s">
        <v>2340</v>
      </c>
      <c r="C58" s="271" t="s">
        <v>2351</v>
      </c>
      <c r="D58" s="96" t="s">
        <v>2342</v>
      </c>
      <c r="E58" s="96" t="s">
        <v>2127</v>
      </c>
      <c r="F58" s="96" t="s">
        <v>2355</v>
      </c>
      <c r="G58" s="96" t="s">
        <v>2352</v>
      </c>
      <c r="H58" s="96" t="s">
        <v>2353</v>
      </c>
      <c r="I58" s="96" t="s">
        <v>2354</v>
      </c>
      <c r="J58" s="113" t="str">
        <f>HYPERLINK("https://lolbas-project.github.io/lolbas/Binaries/Certutil/","lolbas-project.github.io/Certutil")</f>
        <v>lolbas-project.github.io/Certutil</v>
      </c>
      <c r="K58" s="96" t="s">
        <v>4593</v>
      </c>
    </row>
    <row r="59" spans="1:11" ht="25.5">
      <c r="A59" s="96">
        <v>55</v>
      </c>
      <c r="B59" s="98" t="s">
        <v>2340</v>
      </c>
      <c r="C59" s="271" t="s">
        <v>2361</v>
      </c>
      <c r="D59" s="96" t="s">
        <v>2362</v>
      </c>
      <c r="E59" s="96" t="s">
        <v>2127</v>
      </c>
      <c r="F59" s="96" t="s">
        <v>2366</v>
      </c>
      <c r="G59" s="96" t="s">
        <v>2363</v>
      </c>
      <c r="H59" s="96" t="s">
        <v>2364</v>
      </c>
      <c r="I59" s="96" t="s">
        <v>2365</v>
      </c>
      <c r="J59" s="113" t="str">
        <f>HYPERLINK("https://lolbas-project.github.io/","lolbas-project.github.io")</f>
        <v>lolbas-project.github.io</v>
      </c>
      <c r="K59" s="96" t="s">
        <v>4594</v>
      </c>
    </row>
    <row r="60" spans="1:11" ht="25.5">
      <c r="A60" s="96">
        <v>56</v>
      </c>
      <c r="B60" s="98" t="s">
        <v>2340</v>
      </c>
      <c r="C60" s="271" t="s">
        <v>2346</v>
      </c>
      <c r="D60" s="96" t="s">
        <v>2342</v>
      </c>
      <c r="E60" s="96" t="s">
        <v>2127</v>
      </c>
      <c r="F60" s="96" t="s">
        <v>2350</v>
      </c>
      <c r="G60" s="96" t="s">
        <v>2347</v>
      </c>
      <c r="H60" s="96" t="s">
        <v>2348</v>
      </c>
      <c r="I60" s="96" t="s">
        <v>2349</v>
      </c>
      <c r="J60" s="113" t="str">
        <f>HYPERLINK("https://lolbas-project.github.io/","lolbas-project.github.io")</f>
        <v>lolbas-project.github.io</v>
      </c>
      <c r="K60" s="96" t="s">
        <v>4595</v>
      </c>
    </row>
    <row r="61" spans="1:11" ht="25.5">
      <c r="A61" s="96">
        <v>57</v>
      </c>
      <c r="B61" s="98" t="s">
        <v>2340</v>
      </c>
      <c r="C61" s="271" t="s">
        <v>2356</v>
      </c>
      <c r="D61" s="96" t="s">
        <v>2342</v>
      </c>
      <c r="E61" s="96" t="s">
        <v>2127</v>
      </c>
      <c r="F61" s="96" t="s">
        <v>2360</v>
      </c>
      <c r="G61" s="96" t="s">
        <v>2357</v>
      </c>
      <c r="H61" s="96" t="s">
        <v>2358</v>
      </c>
      <c r="I61" s="96" t="s">
        <v>2359</v>
      </c>
      <c r="J61" s="113" t="str">
        <f>HYPERLINK("https://lolbas-project.github.io/","lolbas-project.github.io")</f>
        <v>lolbas-project.github.io</v>
      </c>
      <c r="K61" s="96" t="s">
        <v>4596</v>
      </c>
    </row>
    <row r="62" spans="1:11">
      <c r="A62" s="96"/>
      <c r="B62" s="98"/>
      <c r="C62" s="112"/>
      <c r="D62" s="96"/>
      <c r="E62" s="96"/>
      <c r="F62" s="96"/>
      <c r="G62" s="96"/>
      <c r="H62" s="96"/>
      <c r="I62" s="96"/>
      <c r="J62" s="106"/>
    </row>
  </sheetData>
  <mergeCells count="2">
    <mergeCell ref="A1:J1"/>
    <mergeCell ref="A2:J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2A20B-86AF-4FB8-9F16-A1C4E60EFA45}">
  <dimension ref="A1:E22"/>
  <sheetViews>
    <sheetView zoomScale="115" zoomScaleNormal="115" workbookViewId="0"/>
  </sheetViews>
  <sheetFormatPr defaultColWidth="39.28515625" defaultRowHeight="68.25" customHeight="1"/>
  <cols>
    <col min="1" max="1" width="42.85546875" style="59" customWidth="1"/>
    <col min="2" max="2" width="63.7109375" style="59" customWidth="1"/>
    <col min="3" max="3" width="20.28515625" style="59" customWidth="1"/>
    <col min="4" max="4" width="37.140625" style="59" customWidth="1"/>
    <col min="5" max="5" width="69.5703125" style="59" customWidth="1"/>
    <col min="6" max="16384" width="39.28515625" style="59"/>
  </cols>
  <sheetData>
    <row r="1" spans="1:5" ht="68.25" customHeight="1">
      <c r="A1" s="62" t="s">
        <v>696</v>
      </c>
      <c r="D1" s="62" t="s">
        <v>695</v>
      </c>
    </row>
    <row r="2" spans="1:5" ht="68.25" customHeight="1">
      <c r="A2" s="60" t="s">
        <v>662</v>
      </c>
      <c r="B2" s="60" t="s">
        <v>663</v>
      </c>
      <c r="D2" s="63" t="s">
        <v>686</v>
      </c>
      <c r="E2" s="63" t="s">
        <v>663</v>
      </c>
    </row>
    <row r="3" spans="1:5" ht="68.25" customHeight="1">
      <c r="A3" s="57" t="s">
        <v>0</v>
      </c>
      <c r="B3" s="57" t="s">
        <v>682</v>
      </c>
      <c r="D3" s="57" t="s">
        <v>298</v>
      </c>
      <c r="E3" s="57" t="s">
        <v>694</v>
      </c>
    </row>
    <row r="4" spans="1:5" ht="68.25" customHeight="1">
      <c r="A4" s="57" t="s">
        <v>1</v>
      </c>
      <c r="B4" s="57" t="s">
        <v>664</v>
      </c>
      <c r="D4" s="57" t="s">
        <v>299</v>
      </c>
      <c r="E4" s="57" t="s">
        <v>691</v>
      </c>
    </row>
    <row r="5" spans="1:5" ht="68.25" customHeight="1">
      <c r="A5" s="57" t="s">
        <v>2</v>
      </c>
      <c r="B5" s="57" t="s">
        <v>665</v>
      </c>
      <c r="D5" s="57" t="s">
        <v>252</v>
      </c>
      <c r="E5" s="57" t="s">
        <v>687</v>
      </c>
    </row>
    <row r="6" spans="1:5" ht="68.25" customHeight="1">
      <c r="A6" s="57" t="s">
        <v>3</v>
      </c>
      <c r="B6" s="57" t="s">
        <v>683</v>
      </c>
      <c r="D6" s="57" t="s">
        <v>0</v>
      </c>
      <c r="E6" s="57" t="s">
        <v>690</v>
      </c>
    </row>
    <row r="7" spans="1:5" ht="68.25" customHeight="1">
      <c r="A7" s="312" t="s">
        <v>666</v>
      </c>
      <c r="B7" s="57" t="s">
        <v>667</v>
      </c>
      <c r="D7" s="57" t="s">
        <v>6</v>
      </c>
      <c r="E7" s="57" t="s">
        <v>688</v>
      </c>
    </row>
    <row r="8" spans="1:5" ht="68.25" customHeight="1">
      <c r="A8" s="312"/>
      <c r="B8" s="57" t="s">
        <v>4643</v>
      </c>
      <c r="D8" s="57" t="s">
        <v>300</v>
      </c>
      <c r="E8" s="57" t="s">
        <v>692</v>
      </c>
    </row>
    <row r="9" spans="1:5" ht="68.25" customHeight="1">
      <c r="A9" s="312" t="s">
        <v>5</v>
      </c>
      <c r="B9" s="57" t="s">
        <v>668</v>
      </c>
      <c r="D9" s="57" t="s">
        <v>301</v>
      </c>
      <c r="E9" s="57" t="s">
        <v>693</v>
      </c>
    </row>
    <row r="10" spans="1:5" ht="68.25" customHeight="1">
      <c r="A10" s="312"/>
      <c r="B10" s="57" t="s">
        <v>669</v>
      </c>
      <c r="D10" s="57" t="s">
        <v>302</v>
      </c>
      <c r="E10" s="57" t="s">
        <v>689</v>
      </c>
    </row>
    <row r="11" spans="1:5" ht="68.25" customHeight="1">
      <c r="A11" s="57" t="s">
        <v>6</v>
      </c>
      <c r="B11" s="57" t="s">
        <v>670</v>
      </c>
    </row>
    <row r="12" spans="1:5" ht="68.25" customHeight="1">
      <c r="A12" s="57" t="s">
        <v>7</v>
      </c>
      <c r="B12" s="57" t="s">
        <v>671</v>
      </c>
    </row>
    <row r="13" spans="1:5" ht="68.25" customHeight="1">
      <c r="A13" s="57" t="s">
        <v>672</v>
      </c>
      <c r="B13" s="57" t="s">
        <v>673</v>
      </c>
    </row>
    <row r="14" spans="1:5" ht="68.25" customHeight="1">
      <c r="A14" s="57" t="s">
        <v>1452</v>
      </c>
      <c r="B14" s="57" t="s">
        <v>674</v>
      </c>
    </row>
    <row r="15" spans="1:5" ht="68.25" customHeight="1">
      <c r="A15" s="57" t="s">
        <v>1453</v>
      </c>
      <c r="B15" s="57" t="s">
        <v>675</v>
      </c>
    </row>
    <row r="16" spans="1:5" ht="68.25" customHeight="1">
      <c r="A16" s="57" t="s">
        <v>9</v>
      </c>
      <c r="B16" s="57" t="s">
        <v>676</v>
      </c>
    </row>
    <row r="17" spans="1:2" ht="68.25" customHeight="1">
      <c r="A17" s="57" t="s">
        <v>10</v>
      </c>
      <c r="B17" s="57" t="s">
        <v>677</v>
      </c>
    </row>
    <row r="18" spans="1:2" ht="68.25" customHeight="1">
      <c r="A18" s="57" t="s">
        <v>11</v>
      </c>
      <c r="B18" s="57" t="s">
        <v>678</v>
      </c>
    </row>
    <row r="19" spans="1:2" ht="68.25" customHeight="1">
      <c r="A19" s="57" t="s">
        <v>12</v>
      </c>
      <c r="B19" s="57" t="s">
        <v>684</v>
      </c>
    </row>
    <row r="20" spans="1:2" ht="68.25" customHeight="1">
      <c r="A20" s="57" t="s">
        <v>13</v>
      </c>
      <c r="B20" s="57" t="s">
        <v>679</v>
      </c>
    </row>
    <row r="21" spans="1:2" ht="68.25" customHeight="1">
      <c r="A21" s="57" t="s">
        <v>14</v>
      </c>
      <c r="B21" s="57" t="s">
        <v>685</v>
      </c>
    </row>
    <row r="22" spans="1:2" ht="68.25" customHeight="1">
      <c r="A22" s="57" t="s">
        <v>680</v>
      </c>
      <c r="B22" s="64" t="s">
        <v>681</v>
      </c>
    </row>
  </sheetData>
  <mergeCells count="2">
    <mergeCell ref="A7:A8"/>
    <mergeCell ref="A9:A10"/>
  </mergeCells>
  <hyperlinks>
    <hyperlink ref="B22" r:id="rId1" display="https://docs.microsoft.com/" xr:uid="{ADE8E524-2B72-4578-B234-B4BABFC6C33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22</vt:i4>
      </vt:variant>
    </vt:vector>
  </HeadingPairs>
  <TitlesOfParts>
    <vt:vector size="22" baseType="lpstr">
      <vt:lpstr>Info</vt:lpstr>
      <vt:lpstr>1)Logon</vt:lpstr>
      <vt:lpstr>2)Management</vt:lpstr>
      <vt:lpstr>3)Process&amp;Tasks</vt:lpstr>
      <vt:lpstr>4)Audit-access</vt:lpstr>
      <vt:lpstr>5)Discovery-powershell</vt:lpstr>
      <vt:lpstr>6)System-Network</vt:lpstr>
      <vt:lpstr>7)RDP</vt:lpstr>
      <vt:lpstr>8)Sysmon</vt:lpstr>
      <vt:lpstr>9)Active-Directory</vt:lpstr>
      <vt:lpstr>10)Windows-Defender</vt:lpstr>
      <vt:lpstr>WinEvents_ALL</vt:lpstr>
      <vt:lpstr>Popular events</vt:lpstr>
      <vt:lpstr>Logon types</vt:lpstr>
      <vt:lpstr>Error_4625</vt:lpstr>
      <vt:lpstr>Error_ALL</vt:lpstr>
      <vt:lpstr>Storylines</vt:lpstr>
      <vt:lpstr>Forensics_WIN</vt:lpstr>
      <vt:lpstr>LINUX</vt:lpstr>
      <vt:lpstr>Инструменты защитников</vt:lpstr>
      <vt:lpstr>Инструменты атакующих</vt:lpstr>
      <vt:lpstr>Описание колонок</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adminwork</dc:creator>
  <cp:lastModifiedBy>admin</cp:lastModifiedBy>
  <dcterms:created xsi:type="dcterms:W3CDTF">2015-06-05T18:19:34Z</dcterms:created>
  <dcterms:modified xsi:type="dcterms:W3CDTF">2026-07-16T10:26:55Z</dcterms:modified>
</cp:coreProperties>
</file>